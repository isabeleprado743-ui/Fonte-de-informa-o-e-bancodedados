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2A7728BE-C876-47EA-8DCA-9B9A74380DE0}" xr6:coauthVersionLast="36" xr6:coauthVersionMax="36" xr10:uidLastSave="{00000000-0000-0000-0000-000000000000}"/>
  <bookViews>
    <workbookView xWindow="0" yWindow="0" windowWidth="28800" windowHeight="12105" activeTab="1"/>
  </bookViews>
  <sheets>
    <sheet name="Planilha2" sheetId="3" r:id="rId1"/>
    <sheet name="Planilha1" sheetId="2" r:id="rId2"/>
  </sheets>
  <definedNames>
    <definedName name="_xlnm._FilterDatabase" localSheetId="0" hidden="1">Planilha2!$A$1:$U$93</definedName>
  </definedNames>
  <calcPr calcId="0"/>
</workbook>
</file>

<file path=xl/calcChain.xml><?xml version="1.0" encoding="utf-8"?>
<calcChain xmlns="http://schemas.openxmlformats.org/spreadsheetml/2006/main">
  <c r="A5" i="2" l="1"/>
  <c r="A6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2" i="3"/>
</calcChain>
</file>

<file path=xl/sharedStrings.xml><?xml version="1.0" encoding="utf-8"?>
<sst xmlns="http://schemas.openxmlformats.org/spreadsheetml/2006/main" count="125" uniqueCount="122">
  <si>
    <t>cod_ibge</t>
  </si>
  <si>
    <t>municipio</t>
  </si>
  <si>
    <t>num_FC</t>
  </si>
  <si>
    <t>km2</t>
  </si>
  <si>
    <t>hectare</t>
  </si>
  <si>
    <t>hab/ha</t>
  </si>
  <si>
    <t>p_total</t>
  </si>
  <si>
    <t>p_branca</t>
  </si>
  <si>
    <t>p_preta</t>
  </si>
  <si>
    <t>p_amarela</t>
  </si>
  <si>
    <t>p_parda</t>
  </si>
  <si>
    <t>p_indig</t>
  </si>
  <si>
    <t>p_semd</t>
  </si>
  <si>
    <t>d_total</t>
  </si>
  <si>
    <t>DP</t>
  </si>
  <si>
    <t>DPPO</t>
  </si>
  <si>
    <t>DPPNOV</t>
  </si>
  <si>
    <t>DPPNOUO</t>
  </si>
  <si>
    <t>DPI</t>
  </si>
  <si>
    <t>DC</t>
  </si>
  <si>
    <t>São Paulo (SP)</t>
  </si>
  <si>
    <t>Guarulhos (SP)</t>
  </si>
  <si>
    <t>São Bernardo do Campo (SP)</t>
  </si>
  <si>
    <t>Campinas (SP)</t>
  </si>
  <si>
    <t>Mauá (SP)</t>
  </si>
  <si>
    <t>Guarujá (SP)</t>
  </si>
  <si>
    <t>Santo André (SP)</t>
  </si>
  <si>
    <t>Osasco (SP)</t>
  </si>
  <si>
    <t>Itaquaquecetuba (SP)</t>
  </si>
  <si>
    <t>Diadema (SP)</t>
  </si>
  <si>
    <t>São Vicente (SP)</t>
  </si>
  <si>
    <t>Carapicuíba (SP)</t>
  </si>
  <si>
    <t>Embu das Artes (SP)</t>
  </si>
  <si>
    <t>Santos (SP)</t>
  </si>
  <si>
    <t>Taboão da Serra (SP)</t>
  </si>
  <si>
    <t>Cubatão (SP)</t>
  </si>
  <si>
    <t>Ferraz de Vasconcelos (SP)</t>
  </si>
  <si>
    <t>São Sebastião (SP)</t>
  </si>
  <si>
    <t>Ribeirão Preto (SP)</t>
  </si>
  <si>
    <t>Francisco Morato (SP)</t>
  </si>
  <si>
    <t>Praia Grande (SP)</t>
  </si>
  <si>
    <t>Suzano (SP)</t>
  </si>
  <si>
    <t>Jundiaí (SP)</t>
  </si>
  <si>
    <t>Mogi das Cruzes (SP)</t>
  </si>
  <si>
    <t>Bertioga (SP)</t>
  </si>
  <si>
    <t>Ubatuba (SP)</t>
  </si>
  <si>
    <t>Várzea Paulista (SP)</t>
  </si>
  <si>
    <t>Franco da Rocha (SP)</t>
  </si>
  <si>
    <t>Itapecerica da Serra (SP)</t>
  </si>
  <si>
    <t>Itapevi (SP)</t>
  </si>
  <si>
    <t>Sorocaba (SP)</t>
  </si>
  <si>
    <t>Sumaré (SP)</t>
  </si>
  <si>
    <t>Cotia (SP)</t>
  </si>
  <si>
    <t>Cajamar (SP)</t>
  </si>
  <si>
    <t>Piracicaba (SP)</t>
  </si>
  <si>
    <t>Campos do Jordão (SP)</t>
  </si>
  <si>
    <t>Barueri (SP)</t>
  </si>
  <si>
    <t>Caieiras (SP)</t>
  </si>
  <si>
    <t>Ilhabela (SP)</t>
  </si>
  <si>
    <t>São José dos Campos (SP)</t>
  </si>
  <si>
    <t>Jacareí (SP)</t>
  </si>
  <si>
    <t>Bauru (SP)</t>
  </si>
  <si>
    <t>Caraguatatuba (SP)</t>
  </si>
  <si>
    <t>Atibaia (SP)</t>
  </si>
  <si>
    <t>Rio Grande da Serra (SP)</t>
  </si>
  <si>
    <t>Jandira (SP)</t>
  </si>
  <si>
    <t>Votorantim (SP)</t>
  </si>
  <si>
    <t>Ribeirão Pires (SP)</t>
  </si>
  <si>
    <t>Hortolândia (SP)</t>
  </si>
  <si>
    <t>Santana de Parnaíba (SP)</t>
  </si>
  <si>
    <t>Mairiporã (SP)</t>
  </si>
  <si>
    <t>Campo Limpo Paulista (SP)</t>
  </si>
  <si>
    <t>Itu (SP)</t>
  </si>
  <si>
    <t>Marília (SP)</t>
  </si>
  <si>
    <t>Pirapora do Bom Jesus (SP)</t>
  </si>
  <si>
    <t>Tremembé (SP)</t>
  </si>
  <si>
    <t>São Roque (SP)</t>
  </si>
  <si>
    <t>Biritiba Mirim (SP)</t>
  </si>
  <si>
    <t>Poá (SP)</t>
  </si>
  <si>
    <t>Cosmópolis (SP)</t>
  </si>
  <si>
    <t>São Pedro (SP)</t>
  </si>
  <si>
    <t>Arujá (SP)</t>
  </si>
  <si>
    <t>Ibiúna (SP)</t>
  </si>
  <si>
    <t>Porto Ferreira (SP)</t>
  </si>
  <si>
    <t>Cruzeiro (SP)</t>
  </si>
  <si>
    <t>Lorena (SP)</t>
  </si>
  <si>
    <t>Guaratinguetá (SP)</t>
  </si>
  <si>
    <t>Santa Cruz do Rio Pardo (SP)</t>
  </si>
  <si>
    <t>Cabreúva (SP)</t>
  </si>
  <si>
    <t>Embu-Guaçu (SP)</t>
  </si>
  <si>
    <t>Bananal (SP)</t>
  </si>
  <si>
    <t>São Carlos (SP)</t>
  </si>
  <si>
    <t>Capivari (SP)</t>
  </si>
  <si>
    <t>Itirapina (SP)</t>
  </si>
  <si>
    <t>Botucatu (SP)</t>
  </si>
  <si>
    <t>Mairinque (SP)</t>
  </si>
  <si>
    <t>Itanhaém (SP)</t>
  </si>
  <si>
    <t>Rio Claro (SP)</t>
  </si>
  <si>
    <t>Americana (SP)</t>
  </si>
  <si>
    <t>Cordeirópolis (SP)</t>
  </si>
  <si>
    <t>Amparo (SP)</t>
  </si>
  <si>
    <t>Caçapava (SP)</t>
  </si>
  <si>
    <t>Salto (SP)</t>
  </si>
  <si>
    <t>Peruíbe (SP)</t>
  </si>
  <si>
    <t>Ibirarema (SP)</t>
  </si>
  <si>
    <t>Louveira (SP)</t>
  </si>
  <si>
    <t>Bragança Paulista (SP)</t>
  </si>
  <si>
    <t>Avaré (SP)</t>
  </si>
  <si>
    <t>Pederneiras (SP)</t>
  </si>
  <si>
    <t>Tabatinga (SP)</t>
  </si>
  <si>
    <t>Pindamonhangaba (SP)</t>
  </si>
  <si>
    <t>Presidente Epitácio (SP)</t>
  </si>
  <si>
    <t>Em qual cidade existem mais pessoas morando em favela?</t>
  </si>
  <si>
    <t>Em qual cidade a porcentagem de brancos na favela é maior?</t>
  </si>
  <si>
    <t>Em qual cidade a porcentagem de parda na favela é maior?</t>
  </si>
  <si>
    <t>Em qual cidade a porcentagem de pretos na favela é maior?</t>
  </si>
  <si>
    <t>Em qual cidade a porcentagem de indigena na favela é maior?</t>
  </si>
  <si>
    <t>Coluna1</t>
  </si>
  <si>
    <t>porcentagem_pretos</t>
  </si>
  <si>
    <t xml:space="preserve"> </t>
  </si>
  <si>
    <t>São Bernando do Campo (SP)</t>
  </si>
  <si>
    <t>São Paulo(SP)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</si>
</sst>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horizontal="left" indent="1"/>
    </xf>
    <xf numFmtId="0" fontId="19" fillId="33" borderId="0" xfId="0" applyFont="1" applyFill="1" applyAlignment="1">
      <alignment horizontal="left" indent="1"/>
    </xf>
    <xf numFmtId="0" fontId="19" fillId="0" borderId="0" xfId="0" applyFont="1" applyAlignment="1">
      <alignment horizontal="left" indent="1"/>
    </xf>
    <xf numFmtId="9" fontId="18" fillId="0" borderId="10" xfId="1" applyFont="1" applyBorder="1" applyAlignment="1">
      <alignment horizontal="left" indent="1"/>
    </xf>
    <xf numFmtId="9" fontId="19" fillId="33" borderId="0" xfId="1" applyFont="1" applyFill="1" applyAlignment="1">
      <alignment horizontal="left" indent="1"/>
    </xf>
    <xf numFmtId="9" fontId="19" fillId="0" borderId="0" xfId="1" applyFont="1" applyAlignment="1">
      <alignment horizontal="left" indent="1"/>
    </xf>
    <xf numFmtId="9" fontId="0" fillId="0" borderId="0" xfId="1" applyFont="1"/>
    <xf numFmtId="9" fontId="0" fillId="0" borderId="0" xfId="0" applyNumberFormat="1"/>
    <xf numFmtId="3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Em qual cidade a porcentagem de pretos na favela é maior?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4"/>
          <c:order val="0"/>
          <c:tx>
            <c:strRef>
              <c:f>Planilha1!$A$4</c:f>
              <c:strCache>
                <c:ptCount val="1"/>
                <c:pt idx="0">
                  <c:v>Em qual cidade a porcentagem de pretos na favela é maior?</c:v>
                </c:pt>
              </c:strCache>
            </c:strRef>
          </c:tx>
          <c:marker>
            <c:symbol val="none"/>
          </c:marker>
          <c:val>
            <c:numRef>
              <c:f>Planilha1!$B$4:$F$4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44-4E53-87D9-44BB75EBA498}"/>
            </c:ext>
          </c:extLst>
        </c:ser>
        <c:ser>
          <c:idx val="5"/>
          <c:order val="1"/>
          <c:tx>
            <c:strRef>
              <c:f>Planilha1!$A$5</c:f>
              <c:strCache>
                <c:ptCount val="1"/>
                <c:pt idx="0">
                  <c:v>22%</c:v>
                </c:pt>
              </c:strCache>
            </c:strRef>
          </c:tx>
          <c:marker>
            <c:symbol val="none"/>
          </c:marker>
          <c:val>
            <c:numRef>
              <c:f>Planilha1!$B$5:$F$5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944-4E53-87D9-44BB75EBA498}"/>
            </c:ext>
          </c:extLst>
        </c:ser>
        <c:ser>
          <c:idx val="6"/>
          <c:order val="2"/>
          <c:tx>
            <c:strRef>
              <c:f>Planilha1!$A$6</c:f>
              <c:strCache>
                <c:ptCount val="1"/>
                <c:pt idx="0">
                  <c:v>81</c:v>
                </c:pt>
              </c:strCache>
            </c:strRef>
          </c:tx>
          <c:marker>
            <c:symbol val="none"/>
          </c:marker>
          <c:val>
            <c:numRef>
              <c:f>Planilha1!$B$6:$F$6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44-4E53-87D9-44BB75EBA498}"/>
            </c:ext>
          </c:extLst>
        </c:ser>
        <c:ser>
          <c:idx val="7"/>
          <c:order val="3"/>
          <c:tx>
            <c:strRef>
              <c:f>Planilha1!$A$7</c:f>
              <c:strCache>
                <c:ptCount val="1"/>
                <c:pt idx="0">
                  <c:v>São Bernando do Campo (SP)</c:v>
                </c:pt>
              </c:strCache>
            </c:strRef>
          </c:tx>
          <c:marker>
            <c:symbol val="none"/>
          </c:marker>
          <c:val>
            <c:numRef>
              <c:f>Planilha1!$B$7:$F$7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944-4E53-87D9-44BB75EBA498}"/>
            </c:ext>
          </c:extLst>
        </c:ser>
        <c:ser>
          <c:idx val="0"/>
          <c:order val="4"/>
          <c:tx>
            <c:strRef>
              <c:f>Planilha1!$A$4</c:f>
              <c:strCache>
                <c:ptCount val="1"/>
                <c:pt idx="0">
                  <c:v>Em qual cidade a porcentagem de pretos na favela é maior?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Planilha1!$B$4:$F$4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44-4E53-87D9-44BB75EBA498}"/>
            </c:ext>
          </c:extLst>
        </c:ser>
        <c:ser>
          <c:idx val="1"/>
          <c:order val="5"/>
          <c:tx>
            <c:strRef>
              <c:f>Planilha1!$A$5</c:f>
              <c:strCache>
                <c:ptCount val="1"/>
                <c:pt idx="0">
                  <c:v>22%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Planilha1!$B$5:$F$5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44-4E53-87D9-44BB75EBA498}"/>
            </c:ext>
          </c:extLst>
        </c:ser>
        <c:ser>
          <c:idx val="2"/>
          <c:order val="6"/>
          <c:tx>
            <c:strRef>
              <c:f>Planilha1!$A$6</c:f>
              <c:strCache>
                <c:ptCount val="1"/>
                <c:pt idx="0">
                  <c:v>81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Planilha1!$B$6:$F$6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944-4E53-87D9-44BB75EBA498}"/>
            </c:ext>
          </c:extLst>
        </c:ser>
        <c:ser>
          <c:idx val="3"/>
          <c:order val="7"/>
          <c:tx>
            <c:strRef>
              <c:f>Planilha1!$A$7</c:f>
              <c:strCache>
                <c:ptCount val="1"/>
                <c:pt idx="0">
                  <c:v>São Bernando do Campo (SP)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Planilha1!$B$7:$F$7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944-4E53-87D9-44BB75EBA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522112"/>
        <c:axId val="749652592"/>
      </c:lineChart>
      <c:catAx>
        <c:axId val="2008522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9652592"/>
        <c:crosses val="autoZero"/>
        <c:auto val="1"/>
        <c:lblAlgn val="ctr"/>
        <c:lblOffset val="100"/>
        <c:noMultiLvlLbl val="0"/>
      </c:catAx>
      <c:valAx>
        <c:axId val="7496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852211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1</xdr:row>
      <xdr:rowOff>23812</xdr:rowOff>
    </xdr:from>
    <xdr:to>
      <xdr:col>23</xdr:col>
      <xdr:colOff>228600</xdr:colOff>
      <xdr:row>14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9F12FAB-0A2D-48E6-8526-B22F3A3BF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"/>
  <sheetViews>
    <sheetView zoomScaleNormal="100" workbookViewId="0">
      <selection activeCell="J1" sqref="J1:J1048576"/>
    </sheetView>
  </sheetViews>
  <sheetFormatPr defaultRowHeight="15" x14ac:dyDescent="0.25"/>
  <cols>
    <col min="2" max="2" width="34.140625" customWidth="1"/>
    <col min="7" max="7" width="22.28515625" customWidth="1"/>
    <col min="9" max="9" width="9.140625" customWidth="1"/>
    <col min="10" max="10" width="15.7109375" style="7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118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2">
        <v>3550308</v>
      </c>
      <c r="B2" s="2" t="s">
        <v>20</v>
      </c>
      <c r="C2" s="2">
        <v>1359</v>
      </c>
      <c r="D2" s="2">
        <v>63.624000000000002</v>
      </c>
      <c r="E2" s="2">
        <v>6362.4</v>
      </c>
      <c r="F2" s="2">
        <v>271.60000000000002</v>
      </c>
      <c r="G2" s="2">
        <v>1728265</v>
      </c>
      <c r="H2" s="2">
        <v>577027</v>
      </c>
      <c r="I2" s="2">
        <v>247842</v>
      </c>
      <c r="J2" s="5">
        <f>I2/G2</f>
        <v>0.14340509123311529</v>
      </c>
      <c r="K2" s="2">
        <v>1464</v>
      </c>
      <c r="L2" s="2">
        <v>899623</v>
      </c>
      <c r="M2" s="2">
        <v>2161</v>
      </c>
      <c r="N2" s="2">
        <v>148</v>
      </c>
      <c r="O2" s="2">
        <v>653891</v>
      </c>
      <c r="P2" s="2">
        <v>653859</v>
      </c>
      <c r="Q2" s="2">
        <v>587061</v>
      </c>
      <c r="R2" s="2">
        <v>56709</v>
      </c>
      <c r="S2" s="2">
        <v>6008</v>
      </c>
      <c r="T2" s="2">
        <v>4081</v>
      </c>
      <c r="U2" s="2">
        <v>32</v>
      </c>
    </row>
    <row r="3" spans="1:21" x14ac:dyDescent="0.25">
      <c r="A3" s="3">
        <v>3518800</v>
      </c>
      <c r="B3" s="3" t="s">
        <v>21</v>
      </c>
      <c r="C3" s="3">
        <v>170</v>
      </c>
      <c r="D3" s="3">
        <v>11.244999999999999</v>
      </c>
      <c r="E3" s="3">
        <v>1124.5</v>
      </c>
      <c r="F3" s="3">
        <v>192.1</v>
      </c>
      <c r="G3" s="3">
        <v>215969</v>
      </c>
      <c r="H3" s="3">
        <v>71565</v>
      </c>
      <c r="I3" s="3">
        <v>27286</v>
      </c>
      <c r="J3" s="6">
        <f t="shared" ref="J3:J66" si="0">I3/G3</f>
        <v>0.12634220652038025</v>
      </c>
      <c r="K3" s="3">
        <v>322</v>
      </c>
      <c r="L3" s="3">
        <v>116522</v>
      </c>
      <c r="M3" s="3">
        <v>265</v>
      </c>
      <c r="N3" s="3">
        <v>9</v>
      </c>
      <c r="O3" s="3">
        <v>76471</v>
      </c>
      <c r="P3" s="3">
        <v>76467</v>
      </c>
      <c r="Q3" s="3">
        <v>69853</v>
      </c>
      <c r="R3" s="3">
        <v>5514</v>
      </c>
      <c r="S3" s="3">
        <v>924</v>
      </c>
      <c r="T3" s="3">
        <v>176</v>
      </c>
      <c r="U3" s="3">
        <v>4</v>
      </c>
    </row>
    <row r="4" spans="1:21" x14ac:dyDescent="0.25">
      <c r="A4" s="2">
        <v>3548708</v>
      </c>
      <c r="B4" s="2" t="s">
        <v>22</v>
      </c>
      <c r="C4" s="2">
        <v>94</v>
      </c>
      <c r="D4" s="2">
        <v>5.2930000000000001</v>
      </c>
      <c r="E4" s="2">
        <v>529.29999999999995</v>
      </c>
      <c r="F4" s="2">
        <v>299</v>
      </c>
      <c r="G4" s="2">
        <v>158274</v>
      </c>
      <c r="H4" s="2">
        <v>61810</v>
      </c>
      <c r="I4" s="2">
        <v>17151</v>
      </c>
      <c r="J4" s="5">
        <f t="shared" si="0"/>
        <v>0.10836271276394101</v>
      </c>
      <c r="K4" s="2">
        <v>159</v>
      </c>
      <c r="L4" s="2">
        <v>78933</v>
      </c>
      <c r="M4" s="2">
        <v>219</v>
      </c>
      <c r="N4" s="2">
        <v>2</v>
      </c>
      <c r="O4" s="2">
        <v>59234</v>
      </c>
      <c r="P4" s="2">
        <v>59231</v>
      </c>
      <c r="Q4" s="2">
        <v>55240</v>
      </c>
      <c r="R4" s="2">
        <v>3604</v>
      </c>
      <c r="S4" s="2">
        <v>366</v>
      </c>
      <c r="T4" s="2">
        <v>21</v>
      </c>
      <c r="U4" s="2">
        <v>3</v>
      </c>
    </row>
    <row r="5" spans="1:21" x14ac:dyDescent="0.25">
      <c r="A5" s="3">
        <v>3509502</v>
      </c>
      <c r="B5" s="3" t="s">
        <v>23</v>
      </c>
      <c r="C5" s="3">
        <v>118</v>
      </c>
      <c r="D5" s="3">
        <v>14.019</v>
      </c>
      <c r="E5" s="3">
        <v>1401.9</v>
      </c>
      <c r="F5" s="3">
        <v>100.4</v>
      </c>
      <c r="G5" s="3">
        <v>140784</v>
      </c>
      <c r="H5" s="3">
        <v>46576</v>
      </c>
      <c r="I5" s="3">
        <v>18788</v>
      </c>
      <c r="J5" s="6">
        <f t="shared" si="0"/>
        <v>0.13345266507557677</v>
      </c>
      <c r="K5" s="3">
        <v>132</v>
      </c>
      <c r="L5" s="3">
        <v>75059</v>
      </c>
      <c r="M5" s="3">
        <v>229</v>
      </c>
      <c r="N5" s="3"/>
      <c r="O5" s="3">
        <v>49646</v>
      </c>
      <c r="P5" s="3">
        <v>49635</v>
      </c>
      <c r="Q5" s="3">
        <v>45629</v>
      </c>
      <c r="R5" s="3">
        <v>3205</v>
      </c>
      <c r="S5" s="3">
        <v>694</v>
      </c>
      <c r="T5" s="3">
        <v>107</v>
      </c>
      <c r="U5" s="3">
        <v>11</v>
      </c>
    </row>
    <row r="6" spans="1:21" x14ac:dyDescent="0.25">
      <c r="A6" s="2">
        <v>3529401</v>
      </c>
      <c r="B6" s="2" t="s">
        <v>24</v>
      </c>
      <c r="C6" s="2">
        <v>60</v>
      </c>
      <c r="D6" s="2">
        <v>5.8680000000000003</v>
      </c>
      <c r="E6" s="2">
        <v>586.79999999999995</v>
      </c>
      <c r="F6" s="2">
        <v>196.4</v>
      </c>
      <c r="G6" s="2">
        <v>115251</v>
      </c>
      <c r="H6" s="2">
        <v>43495</v>
      </c>
      <c r="I6" s="2">
        <v>13103</v>
      </c>
      <c r="J6" s="5">
        <f t="shared" si="0"/>
        <v>0.11369098749685469</v>
      </c>
      <c r="K6" s="2">
        <v>95</v>
      </c>
      <c r="L6" s="2">
        <v>58441</v>
      </c>
      <c r="M6" s="2">
        <v>116</v>
      </c>
      <c r="N6" s="2">
        <v>1</v>
      </c>
      <c r="O6" s="2">
        <v>44161</v>
      </c>
      <c r="P6" s="2">
        <v>44160</v>
      </c>
      <c r="Q6" s="2">
        <v>40127</v>
      </c>
      <c r="R6" s="2">
        <v>3749</v>
      </c>
      <c r="S6" s="2">
        <v>226</v>
      </c>
      <c r="T6" s="2">
        <v>58</v>
      </c>
      <c r="U6" s="2">
        <v>1</v>
      </c>
    </row>
    <row r="7" spans="1:21" x14ac:dyDescent="0.25">
      <c r="A7" s="3">
        <v>3518701</v>
      </c>
      <c r="B7" s="3" t="s">
        <v>25</v>
      </c>
      <c r="C7" s="3">
        <v>55</v>
      </c>
      <c r="D7" s="3">
        <v>6.14</v>
      </c>
      <c r="E7" s="3">
        <v>614</v>
      </c>
      <c r="F7" s="3">
        <v>172.7</v>
      </c>
      <c r="G7" s="3">
        <v>106010</v>
      </c>
      <c r="H7" s="3">
        <v>33936</v>
      </c>
      <c r="I7" s="3">
        <v>12036</v>
      </c>
      <c r="J7" s="6">
        <f t="shared" si="0"/>
        <v>0.11353645882463918</v>
      </c>
      <c r="K7" s="3">
        <v>130</v>
      </c>
      <c r="L7" s="3">
        <v>59709</v>
      </c>
      <c r="M7" s="3">
        <v>194</v>
      </c>
      <c r="N7" s="3">
        <v>5</v>
      </c>
      <c r="O7" s="3">
        <v>39413</v>
      </c>
      <c r="P7" s="3">
        <v>39403</v>
      </c>
      <c r="Q7" s="3">
        <v>34443</v>
      </c>
      <c r="R7" s="3">
        <v>3508</v>
      </c>
      <c r="S7" s="3">
        <v>1349</v>
      </c>
      <c r="T7" s="3">
        <v>103</v>
      </c>
      <c r="U7" s="3">
        <v>10</v>
      </c>
    </row>
    <row r="8" spans="1:21" x14ac:dyDescent="0.25">
      <c r="A8" s="2">
        <v>3547809</v>
      </c>
      <c r="B8" s="2" t="s">
        <v>26</v>
      </c>
      <c r="C8" s="2">
        <v>76</v>
      </c>
      <c r="D8" s="2">
        <v>3.403</v>
      </c>
      <c r="E8" s="2">
        <v>340.3</v>
      </c>
      <c r="F8" s="2">
        <v>291.5</v>
      </c>
      <c r="G8" s="2">
        <v>99187</v>
      </c>
      <c r="H8" s="2">
        <v>37421</v>
      </c>
      <c r="I8" s="2">
        <v>11904</v>
      </c>
      <c r="J8" s="5">
        <f t="shared" si="0"/>
        <v>0.12001572786756329</v>
      </c>
      <c r="K8" s="2">
        <v>66</v>
      </c>
      <c r="L8" s="2">
        <v>49678</v>
      </c>
      <c r="M8" s="2">
        <v>104</v>
      </c>
      <c r="N8" s="2">
        <v>14</v>
      </c>
      <c r="O8" s="2">
        <v>37433</v>
      </c>
      <c r="P8" s="2">
        <v>37431</v>
      </c>
      <c r="Q8" s="2">
        <v>33905</v>
      </c>
      <c r="R8" s="2">
        <v>3000</v>
      </c>
      <c r="S8" s="2">
        <v>479</v>
      </c>
      <c r="T8" s="2">
        <v>47</v>
      </c>
      <c r="U8" s="2">
        <v>2</v>
      </c>
    </row>
    <row r="9" spans="1:21" x14ac:dyDescent="0.25">
      <c r="A9" s="3">
        <v>3534401</v>
      </c>
      <c r="B9" s="3" t="s">
        <v>27</v>
      </c>
      <c r="C9" s="3">
        <v>84</v>
      </c>
      <c r="D9" s="3">
        <v>2.919</v>
      </c>
      <c r="E9" s="3">
        <v>291.89999999999998</v>
      </c>
      <c r="F9" s="3">
        <v>336.4</v>
      </c>
      <c r="G9" s="3">
        <v>98207</v>
      </c>
      <c r="H9" s="3">
        <v>33794</v>
      </c>
      <c r="I9" s="3">
        <v>11901</v>
      </c>
      <c r="J9" s="6">
        <f t="shared" si="0"/>
        <v>0.12118280774282893</v>
      </c>
      <c r="K9" s="3">
        <v>61</v>
      </c>
      <c r="L9" s="3">
        <v>52351</v>
      </c>
      <c r="M9" s="3">
        <v>90</v>
      </c>
      <c r="N9" s="3">
        <v>10</v>
      </c>
      <c r="O9" s="3">
        <v>33927</v>
      </c>
      <c r="P9" s="3">
        <v>33923</v>
      </c>
      <c r="Q9" s="3">
        <v>31491</v>
      </c>
      <c r="R9" s="3">
        <v>1623</v>
      </c>
      <c r="S9" s="3">
        <v>241</v>
      </c>
      <c r="T9" s="3">
        <v>568</v>
      </c>
      <c r="U9" s="3">
        <v>4</v>
      </c>
    </row>
    <row r="10" spans="1:21" x14ac:dyDescent="0.25">
      <c r="A10" s="2">
        <v>3523107</v>
      </c>
      <c r="B10" s="2" t="s">
        <v>28</v>
      </c>
      <c r="C10" s="2">
        <v>69</v>
      </c>
      <c r="D10" s="2">
        <v>7.0940000000000003</v>
      </c>
      <c r="E10" s="2">
        <v>709.4</v>
      </c>
      <c r="F10" s="2">
        <v>128.69999999999999</v>
      </c>
      <c r="G10" s="2">
        <v>91317</v>
      </c>
      <c r="H10" s="2">
        <v>31211</v>
      </c>
      <c r="I10" s="2">
        <v>10239</v>
      </c>
      <c r="J10" s="5">
        <f t="shared" si="0"/>
        <v>0.11212589112651533</v>
      </c>
      <c r="K10" s="2">
        <v>115</v>
      </c>
      <c r="L10" s="2">
        <v>49587</v>
      </c>
      <c r="M10" s="2">
        <v>165</v>
      </c>
      <c r="N10" s="2"/>
      <c r="O10" s="2">
        <v>32846</v>
      </c>
      <c r="P10" s="2">
        <v>32845</v>
      </c>
      <c r="Q10" s="2">
        <v>29208</v>
      </c>
      <c r="R10" s="2">
        <v>3152</v>
      </c>
      <c r="S10" s="2">
        <v>464</v>
      </c>
      <c r="T10" s="2">
        <v>21</v>
      </c>
      <c r="U10" s="2">
        <v>1</v>
      </c>
    </row>
    <row r="11" spans="1:21" x14ac:dyDescent="0.25">
      <c r="A11" s="3">
        <v>3513801</v>
      </c>
      <c r="B11" s="3" t="s">
        <v>29</v>
      </c>
      <c r="C11" s="3">
        <v>109</v>
      </c>
      <c r="D11" s="3">
        <v>2.1760000000000002</v>
      </c>
      <c r="E11" s="3">
        <v>217.6</v>
      </c>
      <c r="F11" s="3">
        <v>403.9</v>
      </c>
      <c r="G11" s="3">
        <v>87887</v>
      </c>
      <c r="H11" s="3">
        <v>33814</v>
      </c>
      <c r="I11" s="3">
        <v>9612</v>
      </c>
      <c r="J11" s="6">
        <f t="shared" si="0"/>
        <v>0.10936771081047254</v>
      </c>
      <c r="K11" s="3">
        <v>85</v>
      </c>
      <c r="L11" s="3">
        <v>44331</v>
      </c>
      <c r="M11" s="3">
        <v>43</v>
      </c>
      <c r="N11" s="3">
        <v>2</v>
      </c>
      <c r="O11" s="3">
        <v>33125</v>
      </c>
      <c r="P11" s="3">
        <v>33124</v>
      </c>
      <c r="Q11" s="3">
        <v>30912</v>
      </c>
      <c r="R11" s="3">
        <v>2051</v>
      </c>
      <c r="S11" s="3">
        <v>154</v>
      </c>
      <c r="T11" s="3">
        <v>7</v>
      </c>
      <c r="U11" s="3">
        <v>1</v>
      </c>
    </row>
    <row r="12" spans="1:21" x14ac:dyDescent="0.25">
      <c r="A12" s="2">
        <v>3551009</v>
      </c>
      <c r="B12" s="2" t="s">
        <v>30</v>
      </c>
      <c r="C12" s="2">
        <v>38</v>
      </c>
      <c r="D12" s="2">
        <v>6.5789999999999997</v>
      </c>
      <c r="E12" s="2">
        <v>657.9</v>
      </c>
      <c r="F12" s="2">
        <v>130.19999999999999</v>
      </c>
      <c r="G12" s="2">
        <v>85652</v>
      </c>
      <c r="H12" s="2">
        <v>28535</v>
      </c>
      <c r="I12" s="2">
        <v>11987</v>
      </c>
      <c r="J12" s="5">
        <f t="shared" si="0"/>
        <v>0.13995003035539158</v>
      </c>
      <c r="K12" s="2">
        <v>70</v>
      </c>
      <c r="L12" s="2">
        <v>44966</v>
      </c>
      <c r="M12" s="2">
        <v>91</v>
      </c>
      <c r="N12" s="2">
        <v>3</v>
      </c>
      <c r="O12" s="2">
        <v>32562</v>
      </c>
      <c r="P12" s="2">
        <v>32558</v>
      </c>
      <c r="Q12" s="2">
        <v>28888</v>
      </c>
      <c r="R12" s="2">
        <v>3408</v>
      </c>
      <c r="S12" s="2">
        <v>162</v>
      </c>
      <c r="T12" s="2">
        <v>100</v>
      </c>
      <c r="U12" s="2">
        <v>4</v>
      </c>
    </row>
    <row r="13" spans="1:21" x14ac:dyDescent="0.25">
      <c r="A13" s="3">
        <v>3510609</v>
      </c>
      <c r="B13" s="3" t="s">
        <v>31</v>
      </c>
      <c r="C13" s="3">
        <v>66</v>
      </c>
      <c r="D13" s="3">
        <v>2.0219999999999998</v>
      </c>
      <c r="E13" s="3">
        <v>202.2</v>
      </c>
      <c r="F13" s="3">
        <v>299.5</v>
      </c>
      <c r="G13" s="3">
        <v>60562</v>
      </c>
      <c r="H13" s="3">
        <v>21069</v>
      </c>
      <c r="I13" s="3">
        <v>7881</v>
      </c>
      <c r="J13" s="6">
        <f t="shared" si="0"/>
        <v>0.13013110531356295</v>
      </c>
      <c r="K13" s="3">
        <v>47</v>
      </c>
      <c r="L13" s="3">
        <v>31494</v>
      </c>
      <c r="M13" s="3">
        <v>61</v>
      </c>
      <c r="N13" s="3">
        <v>10</v>
      </c>
      <c r="O13" s="3">
        <v>21692</v>
      </c>
      <c r="P13" s="3">
        <v>21692</v>
      </c>
      <c r="Q13" s="3">
        <v>20409</v>
      </c>
      <c r="R13" s="3">
        <v>1165</v>
      </c>
      <c r="S13" s="3">
        <v>103</v>
      </c>
      <c r="T13" s="3">
        <v>15</v>
      </c>
      <c r="U13" s="3"/>
    </row>
    <row r="14" spans="1:21" x14ac:dyDescent="0.25">
      <c r="A14" s="2">
        <v>3515004</v>
      </c>
      <c r="B14" s="2" t="s">
        <v>32</v>
      </c>
      <c r="C14" s="2">
        <v>59</v>
      </c>
      <c r="D14" s="2">
        <v>4.5810000000000004</v>
      </c>
      <c r="E14" s="2">
        <v>458.1</v>
      </c>
      <c r="F14" s="2">
        <v>116.3</v>
      </c>
      <c r="G14" s="2">
        <v>53297</v>
      </c>
      <c r="H14" s="2">
        <v>16373</v>
      </c>
      <c r="I14" s="2">
        <v>8063</v>
      </c>
      <c r="J14" s="5">
        <f t="shared" si="0"/>
        <v>0.15128431243784829</v>
      </c>
      <c r="K14" s="2">
        <v>49</v>
      </c>
      <c r="L14" s="2">
        <v>28755</v>
      </c>
      <c r="M14" s="2">
        <v>50</v>
      </c>
      <c r="N14" s="2">
        <v>7</v>
      </c>
      <c r="O14" s="2">
        <v>21312</v>
      </c>
      <c r="P14" s="2">
        <v>21312</v>
      </c>
      <c r="Q14" s="2">
        <v>18218</v>
      </c>
      <c r="R14" s="2">
        <v>2105</v>
      </c>
      <c r="S14" s="2">
        <v>923</v>
      </c>
      <c r="T14" s="2">
        <v>66</v>
      </c>
      <c r="U14" s="2"/>
    </row>
    <row r="15" spans="1:21" x14ac:dyDescent="0.25">
      <c r="A15" s="3">
        <v>3548500</v>
      </c>
      <c r="B15" s="3" t="s">
        <v>33</v>
      </c>
      <c r="C15" s="3">
        <v>46</v>
      </c>
      <c r="D15" s="3">
        <v>5.1289999999999996</v>
      </c>
      <c r="E15" s="3">
        <v>512.9</v>
      </c>
      <c r="F15" s="3">
        <v>90.2</v>
      </c>
      <c r="G15" s="3">
        <v>46262</v>
      </c>
      <c r="H15" s="3">
        <v>18279</v>
      </c>
      <c r="I15" s="3">
        <v>5887</v>
      </c>
      <c r="J15" s="6">
        <f t="shared" si="0"/>
        <v>0.12725346937010937</v>
      </c>
      <c r="K15" s="3">
        <v>64</v>
      </c>
      <c r="L15" s="3">
        <v>21990</v>
      </c>
      <c r="M15" s="3">
        <v>41</v>
      </c>
      <c r="N15" s="3">
        <v>1</v>
      </c>
      <c r="O15" s="3">
        <v>19257</v>
      </c>
      <c r="P15" s="3">
        <v>19249</v>
      </c>
      <c r="Q15" s="3">
        <v>16841</v>
      </c>
      <c r="R15" s="3">
        <v>2006</v>
      </c>
      <c r="S15" s="3">
        <v>396</v>
      </c>
      <c r="T15" s="3">
        <v>6</v>
      </c>
      <c r="U15" s="3">
        <v>8</v>
      </c>
    </row>
    <row r="16" spans="1:21" x14ac:dyDescent="0.25">
      <c r="A16" s="2">
        <v>3552809</v>
      </c>
      <c r="B16" s="2" t="s">
        <v>34</v>
      </c>
      <c r="C16" s="2">
        <v>29</v>
      </c>
      <c r="D16" s="2">
        <v>1.38</v>
      </c>
      <c r="E16" s="2">
        <v>138</v>
      </c>
      <c r="F16" s="2">
        <v>304.60000000000002</v>
      </c>
      <c r="G16" s="2">
        <v>42031</v>
      </c>
      <c r="H16" s="2">
        <v>14457</v>
      </c>
      <c r="I16" s="2">
        <v>5980</v>
      </c>
      <c r="J16" s="5">
        <f t="shared" si="0"/>
        <v>0.14227593918774237</v>
      </c>
      <c r="K16" s="2">
        <v>62</v>
      </c>
      <c r="L16" s="2">
        <v>21487</v>
      </c>
      <c r="M16" s="2">
        <v>45</v>
      </c>
      <c r="N16" s="2"/>
      <c r="O16" s="2">
        <v>16009</v>
      </c>
      <c r="P16" s="2">
        <v>16009</v>
      </c>
      <c r="Q16" s="2">
        <v>14586</v>
      </c>
      <c r="R16" s="2">
        <v>1264</v>
      </c>
      <c r="S16" s="2">
        <v>152</v>
      </c>
      <c r="T16" s="2">
        <v>7</v>
      </c>
      <c r="U16" s="2"/>
    </row>
    <row r="17" spans="1:21" x14ac:dyDescent="0.25">
      <c r="A17" s="3">
        <v>3513504</v>
      </c>
      <c r="B17" s="3" t="s">
        <v>35</v>
      </c>
      <c r="C17" s="3">
        <v>12</v>
      </c>
      <c r="D17" s="3">
        <v>3.0739999999999998</v>
      </c>
      <c r="E17" s="3">
        <v>307.39999999999998</v>
      </c>
      <c r="F17" s="3">
        <v>119.5</v>
      </c>
      <c r="G17" s="3">
        <v>36724</v>
      </c>
      <c r="H17" s="3">
        <v>11592</v>
      </c>
      <c r="I17" s="3">
        <v>4587</v>
      </c>
      <c r="J17" s="6">
        <f t="shared" si="0"/>
        <v>0.12490469447772574</v>
      </c>
      <c r="K17" s="3">
        <v>8</v>
      </c>
      <c r="L17" s="3">
        <v>20503</v>
      </c>
      <c r="M17" s="3">
        <v>34</v>
      </c>
      <c r="N17" s="3"/>
      <c r="O17" s="3">
        <v>15221</v>
      </c>
      <c r="P17" s="3">
        <v>15218</v>
      </c>
      <c r="Q17" s="3">
        <v>12921</v>
      </c>
      <c r="R17" s="3">
        <v>2020</v>
      </c>
      <c r="S17" s="3">
        <v>274</v>
      </c>
      <c r="T17" s="3">
        <v>3</v>
      </c>
      <c r="U17" s="3">
        <v>3</v>
      </c>
    </row>
    <row r="18" spans="1:21" x14ac:dyDescent="0.25">
      <c r="A18" s="2">
        <v>3515707</v>
      </c>
      <c r="B18" s="2" t="s">
        <v>36</v>
      </c>
      <c r="C18" s="2">
        <v>38</v>
      </c>
      <c r="D18" s="2">
        <v>2.4209999999999998</v>
      </c>
      <c r="E18" s="2">
        <v>242.1</v>
      </c>
      <c r="F18" s="2">
        <v>126.5</v>
      </c>
      <c r="G18" s="2">
        <v>30629</v>
      </c>
      <c r="H18" s="2">
        <v>10510</v>
      </c>
      <c r="I18" s="2">
        <v>4141</v>
      </c>
      <c r="J18" s="5">
        <f t="shared" si="0"/>
        <v>0.1351986679290868</v>
      </c>
      <c r="K18" s="2">
        <v>18</v>
      </c>
      <c r="L18" s="2">
        <v>15914</v>
      </c>
      <c r="M18" s="2">
        <v>45</v>
      </c>
      <c r="N18" s="2">
        <v>1</v>
      </c>
      <c r="O18" s="2">
        <v>11265</v>
      </c>
      <c r="P18" s="2">
        <v>11263</v>
      </c>
      <c r="Q18" s="2">
        <v>9872</v>
      </c>
      <c r="R18" s="2">
        <v>1137</v>
      </c>
      <c r="S18" s="2">
        <v>142</v>
      </c>
      <c r="T18" s="2">
        <v>112</v>
      </c>
      <c r="U18" s="2">
        <v>2</v>
      </c>
    </row>
    <row r="19" spans="1:21" x14ac:dyDescent="0.25">
      <c r="A19" s="3">
        <v>3550704</v>
      </c>
      <c r="B19" s="3" t="s">
        <v>37</v>
      </c>
      <c r="C19" s="3">
        <v>23</v>
      </c>
      <c r="D19" s="3">
        <v>3.8570000000000002</v>
      </c>
      <c r="E19" s="3">
        <v>385.7</v>
      </c>
      <c r="F19" s="3">
        <v>63.8</v>
      </c>
      <c r="G19" s="3">
        <v>24619</v>
      </c>
      <c r="H19" s="3">
        <v>8245</v>
      </c>
      <c r="I19" s="3">
        <v>3030</v>
      </c>
      <c r="J19" s="6">
        <f t="shared" si="0"/>
        <v>0.12307567326048986</v>
      </c>
      <c r="K19" s="3">
        <v>36</v>
      </c>
      <c r="L19" s="3">
        <v>13270</v>
      </c>
      <c r="M19" s="3">
        <v>37</v>
      </c>
      <c r="N19" s="3">
        <v>1</v>
      </c>
      <c r="O19" s="3">
        <v>10045</v>
      </c>
      <c r="P19" s="3">
        <v>10041</v>
      </c>
      <c r="Q19" s="3">
        <v>8293</v>
      </c>
      <c r="R19" s="3">
        <v>1005</v>
      </c>
      <c r="S19" s="3">
        <v>734</v>
      </c>
      <c r="T19" s="3">
        <v>9</v>
      </c>
      <c r="U19" s="3">
        <v>4</v>
      </c>
    </row>
    <row r="20" spans="1:21" x14ac:dyDescent="0.25">
      <c r="A20" s="2">
        <v>3543402</v>
      </c>
      <c r="B20" s="2" t="s">
        <v>38</v>
      </c>
      <c r="C20" s="2">
        <v>47</v>
      </c>
      <c r="D20" s="2">
        <v>1.7949999999999999</v>
      </c>
      <c r="E20" s="2">
        <v>179.5</v>
      </c>
      <c r="F20" s="2">
        <v>132.5</v>
      </c>
      <c r="G20" s="2">
        <v>23781</v>
      </c>
      <c r="H20" s="2">
        <v>6735</v>
      </c>
      <c r="I20" s="2">
        <v>3289</v>
      </c>
      <c r="J20" s="5">
        <f t="shared" si="0"/>
        <v>0.13830368781800598</v>
      </c>
      <c r="K20" s="2">
        <v>10</v>
      </c>
      <c r="L20" s="2">
        <v>13719</v>
      </c>
      <c r="M20" s="2">
        <v>26</v>
      </c>
      <c r="N20" s="2">
        <v>2</v>
      </c>
      <c r="O20" s="2">
        <v>8806</v>
      </c>
      <c r="P20" s="2">
        <v>8806</v>
      </c>
      <c r="Q20" s="2">
        <v>7728</v>
      </c>
      <c r="R20" s="2">
        <v>782</v>
      </c>
      <c r="S20" s="2">
        <v>115</v>
      </c>
      <c r="T20" s="2">
        <v>181</v>
      </c>
      <c r="U20" s="2"/>
    </row>
    <row r="21" spans="1:21" x14ac:dyDescent="0.25">
      <c r="A21" s="3">
        <v>3516309</v>
      </c>
      <c r="B21" s="3" t="s">
        <v>39</v>
      </c>
      <c r="C21" s="3">
        <v>36</v>
      </c>
      <c r="D21" s="3">
        <v>2.4969999999999999</v>
      </c>
      <c r="E21" s="3">
        <v>249.7</v>
      </c>
      <c r="F21" s="3">
        <v>90.7</v>
      </c>
      <c r="G21" s="3">
        <v>22646</v>
      </c>
      <c r="H21" s="3">
        <v>7521</v>
      </c>
      <c r="I21" s="3">
        <v>3482</v>
      </c>
      <c r="J21" s="6">
        <f t="shared" si="0"/>
        <v>0.15375783802879095</v>
      </c>
      <c r="K21" s="3">
        <v>14</v>
      </c>
      <c r="L21" s="3">
        <v>11602</v>
      </c>
      <c r="M21" s="3">
        <v>27</v>
      </c>
      <c r="N21" s="3"/>
      <c r="O21" s="3">
        <v>8363</v>
      </c>
      <c r="P21" s="3">
        <v>8363</v>
      </c>
      <c r="Q21" s="3">
        <v>7682</v>
      </c>
      <c r="R21" s="3">
        <v>630</v>
      </c>
      <c r="S21" s="3">
        <v>50</v>
      </c>
      <c r="T21" s="3">
        <v>1</v>
      </c>
      <c r="U21" s="3"/>
    </row>
    <row r="22" spans="1:21" x14ac:dyDescent="0.25">
      <c r="A22" s="2">
        <v>3541000</v>
      </c>
      <c r="B22" s="2" t="s">
        <v>40</v>
      </c>
      <c r="C22" s="2">
        <v>12</v>
      </c>
      <c r="D22" s="2">
        <v>2.125</v>
      </c>
      <c r="E22" s="2">
        <v>212.5</v>
      </c>
      <c r="F22" s="2">
        <v>100.3</v>
      </c>
      <c r="G22" s="2">
        <v>21315</v>
      </c>
      <c r="H22" s="2">
        <v>7362</v>
      </c>
      <c r="I22" s="2">
        <v>2629</v>
      </c>
      <c r="J22" s="5">
        <f t="shared" si="0"/>
        <v>0.12334037063101103</v>
      </c>
      <c r="K22" s="2">
        <v>23</v>
      </c>
      <c r="L22" s="2">
        <v>11290</v>
      </c>
      <c r="M22" s="2">
        <v>10</v>
      </c>
      <c r="N22" s="2">
        <v>1</v>
      </c>
      <c r="O22" s="2">
        <v>8214</v>
      </c>
      <c r="P22" s="2">
        <v>8212</v>
      </c>
      <c r="Q22" s="2">
        <v>6962</v>
      </c>
      <c r="R22" s="2">
        <v>1074</v>
      </c>
      <c r="S22" s="2">
        <v>157</v>
      </c>
      <c r="T22" s="2">
        <v>19</v>
      </c>
      <c r="U22" s="2">
        <v>2</v>
      </c>
    </row>
    <row r="23" spans="1:21" x14ac:dyDescent="0.25">
      <c r="A23" s="3">
        <v>3552502</v>
      </c>
      <c r="B23" s="3" t="s">
        <v>41</v>
      </c>
      <c r="C23" s="3">
        <v>21</v>
      </c>
      <c r="D23" s="3">
        <v>1.85</v>
      </c>
      <c r="E23" s="3">
        <v>185</v>
      </c>
      <c r="F23" s="3">
        <v>114.2</v>
      </c>
      <c r="G23" s="3">
        <v>21126</v>
      </c>
      <c r="H23" s="3">
        <v>7131</v>
      </c>
      <c r="I23" s="3">
        <v>2600</v>
      </c>
      <c r="J23" s="6">
        <f t="shared" si="0"/>
        <v>0.12307109722616681</v>
      </c>
      <c r="K23" s="3">
        <v>41</v>
      </c>
      <c r="L23" s="3">
        <v>11322</v>
      </c>
      <c r="M23" s="3">
        <v>31</v>
      </c>
      <c r="N23" s="3">
        <v>1</v>
      </c>
      <c r="O23" s="3">
        <v>7586</v>
      </c>
      <c r="P23" s="3">
        <v>7584</v>
      </c>
      <c r="Q23" s="3">
        <v>6754</v>
      </c>
      <c r="R23" s="3">
        <v>696</v>
      </c>
      <c r="S23" s="3">
        <v>122</v>
      </c>
      <c r="T23" s="3">
        <v>12</v>
      </c>
      <c r="U23" s="3">
        <v>2</v>
      </c>
    </row>
    <row r="24" spans="1:21" x14ac:dyDescent="0.25">
      <c r="A24" s="2">
        <v>3525904</v>
      </c>
      <c r="B24" s="2" t="s">
        <v>42</v>
      </c>
      <c r="C24" s="2">
        <v>9</v>
      </c>
      <c r="D24" s="2">
        <v>0.86699999999999999</v>
      </c>
      <c r="E24" s="2">
        <v>86.7</v>
      </c>
      <c r="F24" s="2">
        <v>207.6</v>
      </c>
      <c r="G24" s="2">
        <v>17999</v>
      </c>
      <c r="H24" s="2">
        <v>7374</v>
      </c>
      <c r="I24" s="2">
        <v>1687</v>
      </c>
      <c r="J24" s="5">
        <f t="shared" si="0"/>
        <v>9.3727429301627863E-2</v>
      </c>
      <c r="K24" s="2">
        <v>37</v>
      </c>
      <c r="L24" s="2">
        <v>8878</v>
      </c>
      <c r="M24" s="2">
        <v>23</v>
      </c>
      <c r="N24" s="2"/>
      <c r="O24" s="2">
        <v>6025</v>
      </c>
      <c r="P24" s="2">
        <v>6025</v>
      </c>
      <c r="Q24" s="2">
        <v>5802</v>
      </c>
      <c r="R24" s="2">
        <v>194</v>
      </c>
      <c r="S24" s="2">
        <v>24</v>
      </c>
      <c r="T24" s="2">
        <v>5</v>
      </c>
      <c r="U24" s="2"/>
    </row>
    <row r="25" spans="1:21" x14ac:dyDescent="0.25">
      <c r="A25" s="3">
        <v>3530607</v>
      </c>
      <c r="B25" s="3" t="s">
        <v>43</v>
      </c>
      <c r="C25" s="3">
        <v>16</v>
      </c>
      <c r="D25" s="3">
        <v>1.9490000000000001</v>
      </c>
      <c r="E25" s="3">
        <v>194.9</v>
      </c>
      <c r="F25" s="3">
        <v>90.5</v>
      </c>
      <c r="G25" s="3">
        <v>17634</v>
      </c>
      <c r="H25" s="3">
        <v>5980</v>
      </c>
      <c r="I25" s="3">
        <v>2469</v>
      </c>
      <c r="J25" s="6">
        <f t="shared" si="0"/>
        <v>0.14001361007145288</v>
      </c>
      <c r="K25" s="3">
        <v>45</v>
      </c>
      <c r="L25" s="3">
        <v>9105</v>
      </c>
      <c r="M25" s="3">
        <v>35</v>
      </c>
      <c r="N25" s="3"/>
      <c r="O25" s="3">
        <v>6299</v>
      </c>
      <c r="P25" s="3">
        <v>6299</v>
      </c>
      <c r="Q25" s="3">
        <v>5662</v>
      </c>
      <c r="R25" s="3">
        <v>534</v>
      </c>
      <c r="S25" s="3">
        <v>97</v>
      </c>
      <c r="T25" s="3">
        <v>6</v>
      </c>
      <c r="U25" s="3"/>
    </row>
    <row r="26" spans="1:21" x14ac:dyDescent="0.25">
      <c r="A26" s="2">
        <v>3506359</v>
      </c>
      <c r="B26" s="2" t="s">
        <v>44</v>
      </c>
      <c r="C26" s="2">
        <v>24</v>
      </c>
      <c r="D26" s="2">
        <v>4.0140000000000002</v>
      </c>
      <c r="E26" s="2">
        <v>401.4</v>
      </c>
      <c r="F26" s="2">
        <v>40.9</v>
      </c>
      <c r="G26" s="2">
        <v>16400</v>
      </c>
      <c r="H26" s="2">
        <v>4992</v>
      </c>
      <c r="I26" s="2">
        <v>1997</v>
      </c>
      <c r="J26" s="5">
        <f t="shared" si="0"/>
        <v>0.12176829268292683</v>
      </c>
      <c r="K26" s="2">
        <v>41</v>
      </c>
      <c r="L26" s="2">
        <v>9296</v>
      </c>
      <c r="M26" s="2">
        <v>74</v>
      </c>
      <c r="N26" s="2"/>
      <c r="O26" s="2">
        <v>6995</v>
      </c>
      <c r="P26" s="2">
        <v>6991</v>
      </c>
      <c r="Q26" s="2">
        <v>5583</v>
      </c>
      <c r="R26" s="2">
        <v>550</v>
      </c>
      <c r="S26" s="2">
        <v>814</v>
      </c>
      <c r="T26" s="2">
        <v>44</v>
      </c>
      <c r="U26" s="2">
        <v>4</v>
      </c>
    </row>
    <row r="27" spans="1:21" x14ac:dyDescent="0.25">
      <c r="A27" s="3">
        <v>3555406</v>
      </c>
      <c r="B27" s="3" t="s">
        <v>45</v>
      </c>
      <c r="C27" s="3">
        <v>18</v>
      </c>
      <c r="D27" s="3">
        <v>5.5090000000000003</v>
      </c>
      <c r="E27" s="3">
        <v>550.9</v>
      </c>
      <c r="F27" s="3">
        <v>29.7</v>
      </c>
      <c r="G27" s="3">
        <v>16382</v>
      </c>
      <c r="H27" s="3">
        <v>6355</v>
      </c>
      <c r="I27" s="3">
        <v>1906</v>
      </c>
      <c r="J27" s="6">
        <f t="shared" si="0"/>
        <v>0.11634721035282627</v>
      </c>
      <c r="K27" s="3">
        <v>27</v>
      </c>
      <c r="L27" s="3">
        <v>8036</v>
      </c>
      <c r="M27" s="3">
        <v>58</v>
      </c>
      <c r="N27" s="3"/>
      <c r="O27" s="3">
        <v>6878</v>
      </c>
      <c r="P27" s="3">
        <v>6868</v>
      </c>
      <c r="Q27" s="3">
        <v>5496</v>
      </c>
      <c r="R27" s="3">
        <v>740</v>
      </c>
      <c r="S27" s="3">
        <v>614</v>
      </c>
      <c r="T27" s="3">
        <v>18</v>
      </c>
      <c r="U27" s="3">
        <v>10</v>
      </c>
    </row>
    <row r="28" spans="1:21" x14ac:dyDescent="0.25">
      <c r="A28" s="2">
        <v>3556503</v>
      </c>
      <c r="B28" s="2" t="s">
        <v>46</v>
      </c>
      <c r="C28" s="2">
        <v>3</v>
      </c>
      <c r="D28" s="2">
        <v>0.80600000000000005</v>
      </c>
      <c r="E28" s="2">
        <v>80.599999999999994</v>
      </c>
      <c r="F28" s="2">
        <v>191.2</v>
      </c>
      <c r="G28" s="2">
        <v>15411</v>
      </c>
      <c r="H28" s="2">
        <v>5852</v>
      </c>
      <c r="I28" s="2">
        <v>1746</v>
      </c>
      <c r="J28" s="5">
        <f t="shared" si="0"/>
        <v>0.11329569787813899</v>
      </c>
      <c r="K28" s="2">
        <v>7</v>
      </c>
      <c r="L28" s="2">
        <v>7803</v>
      </c>
      <c r="M28" s="2">
        <v>3</v>
      </c>
      <c r="N28" s="2"/>
      <c r="O28" s="2">
        <v>5235</v>
      </c>
      <c r="P28" s="2">
        <v>5234</v>
      </c>
      <c r="Q28" s="2">
        <v>4968</v>
      </c>
      <c r="R28" s="2">
        <v>235</v>
      </c>
      <c r="S28" s="2">
        <v>28</v>
      </c>
      <c r="T28" s="2">
        <v>3</v>
      </c>
      <c r="U28" s="2">
        <v>1</v>
      </c>
    </row>
    <row r="29" spans="1:21" x14ac:dyDescent="0.25">
      <c r="A29" s="3">
        <v>3516408</v>
      </c>
      <c r="B29" s="3" t="s">
        <v>47</v>
      </c>
      <c r="C29" s="3">
        <v>25</v>
      </c>
      <c r="D29" s="3">
        <v>1.8</v>
      </c>
      <c r="E29" s="3">
        <v>180</v>
      </c>
      <c r="F29" s="3">
        <v>81.8</v>
      </c>
      <c r="G29" s="3">
        <v>14726</v>
      </c>
      <c r="H29" s="3">
        <v>4852</v>
      </c>
      <c r="I29" s="3">
        <v>2106</v>
      </c>
      <c r="J29" s="6">
        <f t="shared" si="0"/>
        <v>0.14301235909276111</v>
      </c>
      <c r="K29" s="3">
        <v>15</v>
      </c>
      <c r="L29" s="3">
        <v>7739</v>
      </c>
      <c r="M29" s="3">
        <v>14</v>
      </c>
      <c r="N29" s="3"/>
      <c r="O29" s="3">
        <v>5492</v>
      </c>
      <c r="P29" s="3">
        <v>5492</v>
      </c>
      <c r="Q29" s="3">
        <v>4874</v>
      </c>
      <c r="R29" s="3">
        <v>436</v>
      </c>
      <c r="S29" s="3">
        <v>176</v>
      </c>
      <c r="T29" s="3">
        <v>6</v>
      </c>
      <c r="U29" s="3"/>
    </row>
    <row r="30" spans="1:21" x14ac:dyDescent="0.25">
      <c r="A30" s="2">
        <v>3522208</v>
      </c>
      <c r="B30" s="2" t="s">
        <v>48</v>
      </c>
      <c r="C30" s="2">
        <v>20</v>
      </c>
      <c r="D30" s="2">
        <v>1.3080000000000001</v>
      </c>
      <c r="E30" s="2">
        <v>130.80000000000001</v>
      </c>
      <c r="F30" s="2">
        <v>108.1</v>
      </c>
      <c r="G30" s="2">
        <v>14140</v>
      </c>
      <c r="H30" s="2">
        <v>4786</v>
      </c>
      <c r="I30" s="2">
        <v>2266</v>
      </c>
      <c r="J30" s="5">
        <f t="shared" si="0"/>
        <v>0.16025459688826024</v>
      </c>
      <c r="K30" s="2">
        <v>19</v>
      </c>
      <c r="L30" s="2">
        <v>7042</v>
      </c>
      <c r="M30" s="2">
        <v>26</v>
      </c>
      <c r="N30" s="2">
        <v>1</v>
      </c>
      <c r="O30" s="2">
        <v>5909</v>
      </c>
      <c r="P30" s="2">
        <v>5909</v>
      </c>
      <c r="Q30" s="2">
        <v>4911</v>
      </c>
      <c r="R30" s="2">
        <v>629</v>
      </c>
      <c r="S30" s="2">
        <v>359</v>
      </c>
      <c r="T30" s="2">
        <v>10</v>
      </c>
      <c r="U30" s="2"/>
    </row>
    <row r="31" spans="1:21" x14ac:dyDescent="0.25">
      <c r="A31" s="3">
        <v>3522505</v>
      </c>
      <c r="B31" s="3" t="s">
        <v>49</v>
      </c>
      <c r="C31" s="3">
        <v>20</v>
      </c>
      <c r="D31" s="3">
        <v>0.65600000000000003</v>
      </c>
      <c r="E31" s="3">
        <v>65.599999999999994</v>
      </c>
      <c r="F31" s="3">
        <v>212.1</v>
      </c>
      <c r="G31" s="3">
        <v>13911</v>
      </c>
      <c r="H31" s="3">
        <v>3530</v>
      </c>
      <c r="I31" s="3">
        <v>1448</v>
      </c>
      <c r="J31" s="6">
        <f t="shared" si="0"/>
        <v>0.10409028826108835</v>
      </c>
      <c r="K31" s="3">
        <v>17</v>
      </c>
      <c r="L31" s="3">
        <v>8909</v>
      </c>
      <c r="M31" s="3">
        <v>7</v>
      </c>
      <c r="N31" s="3"/>
      <c r="O31" s="3">
        <v>5059</v>
      </c>
      <c r="P31" s="3">
        <v>5059</v>
      </c>
      <c r="Q31" s="3">
        <v>4898</v>
      </c>
      <c r="R31" s="3">
        <v>130</v>
      </c>
      <c r="S31" s="3">
        <v>12</v>
      </c>
      <c r="T31" s="3">
        <v>19</v>
      </c>
      <c r="U31" s="3"/>
    </row>
    <row r="32" spans="1:21" x14ac:dyDescent="0.25">
      <c r="A32" s="2">
        <v>3552205</v>
      </c>
      <c r="B32" s="2" t="s">
        <v>50</v>
      </c>
      <c r="C32" s="2">
        <v>22</v>
      </c>
      <c r="D32" s="2">
        <v>2.1560000000000001</v>
      </c>
      <c r="E32" s="2">
        <v>215.6</v>
      </c>
      <c r="F32" s="2">
        <v>57.7</v>
      </c>
      <c r="G32" s="2">
        <v>12433</v>
      </c>
      <c r="H32" s="2">
        <v>5692</v>
      </c>
      <c r="I32" s="2">
        <v>1263</v>
      </c>
      <c r="J32" s="5">
        <f t="shared" si="0"/>
        <v>0.10158449288184671</v>
      </c>
      <c r="K32" s="2">
        <v>14</v>
      </c>
      <c r="L32" s="2">
        <v>5457</v>
      </c>
      <c r="M32" s="2">
        <v>6</v>
      </c>
      <c r="N32" s="2">
        <v>1</v>
      </c>
      <c r="O32" s="2">
        <v>4518</v>
      </c>
      <c r="P32" s="2">
        <v>4517</v>
      </c>
      <c r="Q32" s="2">
        <v>3911</v>
      </c>
      <c r="R32" s="2">
        <v>416</v>
      </c>
      <c r="S32" s="2">
        <v>99</v>
      </c>
      <c r="T32" s="2">
        <v>91</v>
      </c>
      <c r="U32" s="2">
        <v>1</v>
      </c>
    </row>
    <row r="33" spans="1:21" x14ac:dyDescent="0.25">
      <c r="A33" s="3">
        <v>3552403</v>
      </c>
      <c r="B33" s="3" t="s">
        <v>51</v>
      </c>
      <c r="C33" s="3">
        <v>13</v>
      </c>
      <c r="D33" s="3">
        <v>1.4690000000000001</v>
      </c>
      <c r="E33" s="3">
        <v>146.9</v>
      </c>
      <c r="F33" s="3">
        <v>75.8</v>
      </c>
      <c r="G33" s="3">
        <v>11138</v>
      </c>
      <c r="H33" s="3">
        <v>3719</v>
      </c>
      <c r="I33" s="3">
        <v>1349</v>
      </c>
      <c r="J33" s="6">
        <f t="shared" si="0"/>
        <v>0.12111689710899623</v>
      </c>
      <c r="K33" s="3">
        <v>11</v>
      </c>
      <c r="L33" s="3">
        <v>6044</v>
      </c>
      <c r="M33" s="3">
        <v>15</v>
      </c>
      <c r="N33" s="3"/>
      <c r="O33" s="3">
        <v>4287</v>
      </c>
      <c r="P33" s="3">
        <v>4287</v>
      </c>
      <c r="Q33" s="3">
        <v>3718</v>
      </c>
      <c r="R33" s="3">
        <v>437</v>
      </c>
      <c r="S33" s="3">
        <v>126</v>
      </c>
      <c r="T33" s="3">
        <v>6</v>
      </c>
      <c r="U33" s="3"/>
    </row>
    <row r="34" spans="1:21" x14ac:dyDescent="0.25">
      <c r="A34" s="2">
        <v>3513009</v>
      </c>
      <c r="B34" s="2" t="s">
        <v>52</v>
      </c>
      <c r="C34" s="2">
        <v>19</v>
      </c>
      <c r="D34" s="2">
        <v>0.71899999999999997</v>
      </c>
      <c r="E34" s="2">
        <v>71.900000000000006</v>
      </c>
      <c r="F34" s="2">
        <v>154.69999999999999</v>
      </c>
      <c r="G34" s="2">
        <v>11123</v>
      </c>
      <c r="H34" s="2">
        <v>3554</v>
      </c>
      <c r="I34" s="2">
        <v>1565</v>
      </c>
      <c r="J34" s="5">
        <f t="shared" si="0"/>
        <v>0.14069945158680211</v>
      </c>
      <c r="K34" s="2">
        <v>22</v>
      </c>
      <c r="L34" s="2">
        <v>5968</v>
      </c>
      <c r="M34" s="2">
        <v>14</v>
      </c>
      <c r="N34" s="2"/>
      <c r="O34" s="2">
        <v>4141</v>
      </c>
      <c r="P34" s="2">
        <v>4141</v>
      </c>
      <c r="Q34" s="2">
        <v>3680</v>
      </c>
      <c r="R34" s="2">
        <v>410</v>
      </c>
      <c r="S34" s="2">
        <v>46</v>
      </c>
      <c r="T34" s="2">
        <v>5</v>
      </c>
      <c r="U34" s="2"/>
    </row>
    <row r="35" spans="1:21" x14ac:dyDescent="0.25">
      <c r="A35" s="3">
        <v>3509205</v>
      </c>
      <c r="B35" s="3" t="s">
        <v>53</v>
      </c>
      <c r="C35" s="3">
        <v>21</v>
      </c>
      <c r="D35" s="3">
        <v>1.645</v>
      </c>
      <c r="E35" s="3">
        <v>164.5</v>
      </c>
      <c r="F35" s="3">
        <v>67.400000000000006</v>
      </c>
      <c r="G35" s="3">
        <v>11081</v>
      </c>
      <c r="H35" s="3">
        <v>4508</v>
      </c>
      <c r="I35" s="3">
        <v>1125</v>
      </c>
      <c r="J35" s="6">
        <f t="shared" si="0"/>
        <v>0.10152513311073008</v>
      </c>
      <c r="K35" s="3">
        <v>5</v>
      </c>
      <c r="L35" s="3">
        <v>5426</v>
      </c>
      <c r="M35" s="3">
        <v>17</v>
      </c>
      <c r="N35" s="3"/>
      <c r="O35" s="3">
        <v>4148</v>
      </c>
      <c r="P35" s="3">
        <v>4148</v>
      </c>
      <c r="Q35" s="3">
        <v>3751</v>
      </c>
      <c r="R35" s="3">
        <v>344</v>
      </c>
      <c r="S35" s="3">
        <v>53</v>
      </c>
      <c r="T35" s="3"/>
      <c r="U35" s="3"/>
    </row>
    <row r="36" spans="1:21" x14ac:dyDescent="0.25">
      <c r="A36" s="2">
        <v>3538709</v>
      </c>
      <c r="B36" s="2" t="s">
        <v>54</v>
      </c>
      <c r="C36" s="2">
        <v>16</v>
      </c>
      <c r="D36" s="2">
        <v>0.84799999999999998</v>
      </c>
      <c r="E36" s="2">
        <v>84.8</v>
      </c>
      <c r="F36" s="2">
        <v>128.1</v>
      </c>
      <c r="G36" s="2">
        <v>10863</v>
      </c>
      <c r="H36" s="2">
        <v>3076</v>
      </c>
      <c r="I36" s="2">
        <v>1766</v>
      </c>
      <c r="J36" s="5">
        <f t="shared" si="0"/>
        <v>0.16257019239620732</v>
      </c>
      <c r="K36" s="2">
        <v>6</v>
      </c>
      <c r="L36" s="2">
        <v>6010</v>
      </c>
      <c r="M36" s="2">
        <v>5</v>
      </c>
      <c r="N36" s="2"/>
      <c r="O36" s="2">
        <v>4590</v>
      </c>
      <c r="P36" s="2">
        <v>4588</v>
      </c>
      <c r="Q36" s="2">
        <v>3450</v>
      </c>
      <c r="R36" s="2">
        <v>604</v>
      </c>
      <c r="S36" s="2">
        <v>81</v>
      </c>
      <c r="T36" s="2">
        <v>453</v>
      </c>
      <c r="U36" s="2">
        <v>2</v>
      </c>
    </row>
    <row r="37" spans="1:21" x14ac:dyDescent="0.25">
      <c r="A37" s="3">
        <v>3509700</v>
      </c>
      <c r="B37" s="3" t="s">
        <v>55</v>
      </c>
      <c r="C37" s="3">
        <v>11</v>
      </c>
      <c r="D37" s="3">
        <v>0.93300000000000005</v>
      </c>
      <c r="E37" s="3">
        <v>93.3</v>
      </c>
      <c r="F37" s="3">
        <v>97.1</v>
      </c>
      <c r="G37" s="3">
        <v>9063</v>
      </c>
      <c r="H37" s="3">
        <v>6056</v>
      </c>
      <c r="I37" s="3">
        <v>368</v>
      </c>
      <c r="J37" s="6">
        <f t="shared" si="0"/>
        <v>4.0604656294825112E-2</v>
      </c>
      <c r="K37" s="3">
        <v>3</v>
      </c>
      <c r="L37" s="3">
        <v>2629</v>
      </c>
      <c r="M37" s="3">
        <v>7</v>
      </c>
      <c r="N37" s="3"/>
      <c r="O37" s="3">
        <v>3251</v>
      </c>
      <c r="P37" s="3">
        <v>3245</v>
      </c>
      <c r="Q37" s="3">
        <v>2905</v>
      </c>
      <c r="R37" s="3">
        <v>285</v>
      </c>
      <c r="S37" s="3">
        <v>54</v>
      </c>
      <c r="T37" s="3">
        <v>1</v>
      </c>
      <c r="U37" s="3">
        <v>6</v>
      </c>
    </row>
    <row r="38" spans="1:21" x14ac:dyDescent="0.25">
      <c r="A38" s="2">
        <v>3505708</v>
      </c>
      <c r="B38" s="2" t="s">
        <v>56</v>
      </c>
      <c r="C38" s="2">
        <v>14</v>
      </c>
      <c r="D38" s="2">
        <v>0.28999999999999998</v>
      </c>
      <c r="E38" s="2">
        <v>29</v>
      </c>
      <c r="F38" s="2">
        <v>300.60000000000002</v>
      </c>
      <c r="G38" s="2">
        <v>8717</v>
      </c>
      <c r="H38" s="2">
        <v>3055</v>
      </c>
      <c r="I38" s="2">
        <v>961</v>
      </c>
      <c r="J38" s="5">
        <f t="shared" si="0"/>
        <v>0.11024435012045429</v>
      </c>
      <c r="K38" s="2">
        <v>9</v>
      </c>
      <c r="L38" s="2">
        <v>4689</v>
      </c>
      <c r="M38" s="2">
        <v>3</v>
      </c>
      <c r="N38" s="2"/>
      <c r="O38" s="2">
        <v>3094</v>
      </c>
      <c r="P38" s="2">
        <v>3094</v>
      </c>
      <c r="Q38" s="2">
        <v>2925</v>
      </c>
      <c r="R38" s="2">
        <v>150</v>
      </c>
      <c r="S38" s="2">
        <v>19</v>
      </c>
      <c r="T38" s="2"/>
      <c r="U38" s="2"/>
    </row>
    <row r="39" spans="1:21" x14ac:dyDescent="0.25">
      <c r="A39" s="3">
        <v>3509007</v>
      </c>
      <c r="B39" s="3" t="s">
        <v>57</v>
      </c>
      <c r="C39" s="3">
        <v>10</v>
      </c>
      <c r="D39" s="3">
        <v>0.42399999999999999</v>
      </c>
      <c r="E39" s="3">
        <v>42.4</v>
      </c>
      <c r="F39" s="3">
        <v>161.6</v>
      </c>
      <c r="G39" s="3">
        <v>6850</v>
      </c>
      <c r="H39" s="3">
        <v>2197</v>
      </c>
      <c r="I39" s="3">
        <v>924</v>
      </c>
      <c r="J39" s="6">
        <f t="shared" si="0"/>
        <v>0.13489051094890511</v>
      </c>
      <c r="K39" s="3">
        <v>9</v>
      </c>
      <c r="L39" s="3">
        <v>3696</v>
      </c>
      <c r="M39" s="3">
        <v>24</v>
      </c>
      <c r="N39" s="3"/>
      <c r="O39" s="3">
        <v>2360</v>
      </c>
      <c r="P39" s="3">
        <v>2360</v>
      </c>
      <c r="Q39" s="3">
        <v>2233</v>
      </c>
      <c r="R39" s="3">
        <v>121</v>
      </c>
      <c r="S39" s="3">
        <v>6</v>
      </c>
      <c r="T39" s="3"/>
      <c r="U39" s="3"/>
    </row>
    <row r="40" spans="1:21" x14ac:dyDescent="0.25">
      <c r="A40" s="2">
        <v>3520400</v>
      </c>
      <c r="B40" s="2" t="s">
        <v>58</v>
      </c>
      <c r="C40" s="2">
        <v>13</v>
      </c>
      <c r="D40" s="2">
        <v>1.0960000000000001</v>
      </c>
      <c r="E40" s="2">
        <v>109.6</v>
      </c>
      <c r="F40" s="2">
        <v>62.3</v>
      </c>
      <c r="G40" s="2">
        <v>6833</v>
      </c>
      <c r="H40" s="2">
        <v>2557</v>
      </c>
      <c r="I40" s="2">
        <v>725</v>
      </c>
      <c r="J40" s="5">
        <f t="shared" si="0"/>
        <v>0.10610273671886433</v>
      </c>
      <c r="K40" s="2">
        <v>18</v>
      </c>
      <c r="L40" s="2">
        <v>3475</v>
      </c>
      <c r="M40" s="2">
        <v>58</v>
      </c>
      <c r="N40" s="2"/>
      <c r="O40" s="2">
        <v>2598</v>
      </c>
      <c r="P40" s="2">
        <v>2597</v>
      </c>
      <c r="Q40" s="2">
        <v>2318</v>
      </c>
      <c r="R40" s="2">
        <v>125</v>
      </c>
      <c r="S40" s="2">
        <v>153</v>
      </c>
      <c r="T40" s="2">
        <v>1</v>
      </c>
      <c r="U40" s="2">
        <v>1</v>
      </c>
    </row>
    <row r="41" spans="1:21" x14ac:dyDescent="0.25">
      <c r="A41" s="3">
        <v>3549904</v>
      </c>
      <c r="B41" s="3" t="s">
        <v>59</v>
      </c>
      <c r="C41" s="3">
        <v>12</v>
      </c>
      <c r="D41" s="3">
        <v>1.121</v>
      </c>
      <c r="E41" s="3">
        <v>112.1</v>
      </c>
      <c r="F41" s="3">
        <v>58</v>
      </c>
      <c r="G41" s="3">
        <v>6497</v>
      </c>
      <c r="H41" s="3">
        <v>2604</v>
      </c>
      <c r="I41" s="3">
        <v>707</v>
      </c>
      <c r="J41" s="6">
        <f t="shared" si="0"/>
        <v>0.10881945513313837</v>
      </c>
      <c r="K41" s="3">
        <v>2</v>
      </c>
      <c r="L41" s="3">
        <v>3174</v>
      </c>
      <c r="M41" s="3">
        <v>10</v>
      </c>
      <c r="N41" s="3"/>
      <c r="O41" s="3">
        <v>2349</v>
      </c>
      <c r="P41" s="3">
        <v>2348</v>
      </c>
      <c r="Q41" s="3">
        <v>2171</v>
      </c>
      <c r="R41" s="3">
        <v>140</v>
      </c>
      <c r="S41" s="3">
        <v>27</v>
      </c>
      <c r="T41" s="3">
        <v>10</v>
      </c>
      <c r="U41" s="3">
        <v>1</v>
      </c>
    </row>
    <row r="42" spans="1:21" x14ac:dyDescent="0.25">
      <c r="A42" s="2">
        <v>3524402</v>
      </c>
      <c r="B42" s="2" t="s">
        <v>60</v>
      </c>
      <c r="C42" s="2">
        <v>10</v>
      </c>
      <c r="D42" s="2">
        <v>0.90600000000000003</v>
      </c>
      <c r="E42" s="2">
        <v>90.6</v>
      </c>
      <c r="F42" s="2">
        <v>70.3</v>
      </c>
      <c r="G42" s="2">
        <v>6365</v>
      </c>
      <c r="H42" s="2">
        <v>2737</v>
      </c>
      <c r="I42" s="2">
        <v>679</v>
      </c>
      <c r="J42" s="5">
        <f t="shared" si="0"/>
        <v>0.10667714061272585</v>
      </c>
      <c r="K42" s="2">
        <v>8</v>
      </c>
      <c r="L42" s="2">
        <v>2936</v>
      </c>
      <c r="M42" s="2">
        <v>5</v>
      </c>
      <c r="N42" s="2"/>
      <c r="O42" s="2">
        <v>2402</v>
      </c>
      <c r="P42" s="2">
        <v>2402</v>
      </c>
      <c r="Q42" s="2">
        <v>2109</v>
      </c>
      <c r="R42" s="2">
        <v>259</v>
      </c>
      <c r="S42" s="2">
        <v>34</v>
      </c>
      <c r="T42" s="2"/>
      <c r="U42" s="2"/>
    </row>
    <row r="43" spans="1:21" x14ac:dyDescent="0.25">
      <c r="A43" s="3">
        <v>3506003</v>
      </c>
      <c r="B43" s="3" t="s">
        <v>61</v>
      </c>
      <c r="C43" s="3">
        <v>15</v>
      </c>
      <c r="D43" s="3">
        <v>2.38</v>
      </c>
      <c r="E43" s="3">
        <v>238</v>
      </c>
      <c r="F43" s="3">
        <v>26.5</v>
      </c>
      <c r="G43" s="3">
        <v>6310</v>
      </c>
      <c r="H43" s="3">
        <v>2311</v>
      </c>
      <c r="I43" s="3">
        <v>745</v>
      </c>
      <c r="J43" s="6">
        <f t="shared" si="0"/>
        <v>0.11806656101426308</v>
      </c>
      <c r="K43" s="3">
        <v>4</v>
      </c>
      <c r="L43" s="3">
        <v>3242</v>
      </c>
      <c r="M43" s="3">
        <v>8</v>
      </c>
      <c r="N43" s="3"/>
      <c r="O43" s="3">
        <v>2586</v>
      </c>
      <c r="P43" s="3">
        <v>2586</v>
      </c>
      <c r="Q43" s="3">
        <v>2018</v>
      </c>
      <c r="R43" s="3">
        <v>317</v>
      </c>
      <c r="S43" s="3">
        <v>187</v>
      </c>
      <c r="T43" s="3">
        <v>64</v>
      </c>
      <c r="U43" s="3"/>
    </row>
    <row r="44" spans="1:21" x14ac:dyDescent="0.25">
      <c r="A44" s="2">
        <v>3510500</v>
      </c>
      <c r="B44" s="2" t="s">
        <v>62</v>
      </c>
      <c r="C44" s="2">
        <v>12</v>
      </c>
      <c r="D44" s="2">
        <v>1.296</v>
      </c>
      <c r="E44" s="2">
        <v>129.6</v>
      </c>
      <c r="F44" s="2">
        <v>43.2</v>
      </c>
      <c r="G44" s="2">
        <v>5601</v>
      </c>
      <c r="H44" s="2">
        <v>2398</v>
      </c>
      <c r="I44" s="2">
        <v>562</v>
      </c>
      <c r="J44" s="5">
        <f t="shared" si="0"/>
        <v>0.10033922513836815</v>
      </c>
      <c r="K44" s="2">
        <v>2</v>
      </c>
      <c r="L44" s="2">
        <v>2622</v>
      </c>
      <c r="M44" s="2">
        <v>17</v>
      </c>
      <c r="N44" s="2"/>
      <c r="O44" s="2">
        <v>2396</v>
      </c>
      <c r="P44" s="2">
        <v>2396</v>
      </c>
      <c r="Q44" s="2">
        <v>1833</v>
      </c>
      <c r="R44" s="2">
        <v>263</v>
      </c>
      <c r="S44" s="2">
        <v>261</v>
      </c>
      <c r="T44" s="2">
        <v>39</v>
      </c>
      <c r="U44" s="2"/>
    </row>
    <row r="45" spans="1:21" x14ac:dyDescent="0.25">
      <c r="A45" s="3">
        <v>3504107</v>
      </c>
      <c r="B45" s="3" t="s">
        <v>63</v>
      </c>
      <c r="C45" s="3">
        <v>11</v>
      </c>
      <c r="D45" s="3">
        <v>0.78800000000000003</v>
      </c>
      <c r="E45" s="3">
        <v>78.8</v>
      </c>
      <c r="F45" s="3">
        <v>68.099999999999994</v>
      </c>
      <c r="G45" s="3">
        <v>5370</v>
      </c>
      <c r="H45" s="3">
        <v>2526</v>
      </c>
      <c r="I45" s="3">
        <v>450</v>
      </c>
      <c r="J45" s="6">
        <f t="shared" si="0"/>
        <v>8.3798882681564241E-2</v>
      </c>
      <c r="K45" s="3">
        <v>16</v>
      </c>
      <c r="L45" s="3">
        <v>2371</v>
      </c>
      <c r="M45" s="3">
        <v>7</v>
      </c>
      <c r="N45" s="3"/>
      <c r="O45" s="3">
        <v>1961</v>
      </c>
      <c r="P45" s="3">
        <v>1960</v>
      </c>
      <c r="Q45" s="3">
        <v>1761</v>
      </c>
      <c r="R45" s="3">
        <v>151</v>
      </c>
      <c r="S45" s="3">
        <v>42</v>
      </c>
      <c r="T45" s="3">
        <v>6</v>
      </c>
      <c r="U45" s="3">
        <v>1</v>
      </c>
    </row>
    <row r="46" spans="1:21" x14ac:dyDescent="0.25">
      <c r="A46" s="2">
        <v>3544103</v>
      </c>
      <c r="B46" s="2" t="s">
        <v>64</v>
      </c>
      <c r="C46" s="2">
        <v>7</v>
      </c>
      <c r="D46" s="2">
        <v>0.70899999999999996</v>
      </c>
      <c r="E46" s="2">
        <v>70.900000000000006</v>
      </c>
      <c r="F46" s="2">
        <v>73.3</v>
      </c>
      <c r="G46" s="2">
        <v>5195</v>
      </c>
      <c r="H46" s="2">
        <v>2055</v>
      </c>
      <c r="I46" s="2">
        <v>576</v>
      </c>
      <c r="J46" s="5">
        <f t="shared" si="0"/>
        <v>0.11087584215591915</v>
      </c>
      <c r="K46" s="2">
        <v>3</v>
      </c>
      <c r="L46" s="2">
        <v>2550</v>
      </c>
      <c r="M46" s="2">
        <v>11</v>
      </c>
      <c r="N46" s="2"/>
      <c r="O46" s="2">
        <v>2049</v>
      </c>
      <c r="P46" s="2">
        <v>2048</v>
      </c>
      <c r="Q46" s="2">
        <v>1842</v>
      </c>
      <c r="R46" s="2">
        <v>178</v>
      </c>
      <c r="S46" s="2">
        <v>28</v>
      </c>
      <c r="T46" s="2"/>
      <c r="U46" s="2">
        <v>1</v>
      </c>
    </row>
    <row r="47" spans="1:21" x14ac:dyDescent="0.25">
      <c r="A47" s="3">
        <v>3525003</v>
      </c>
      <c r="B47" s="3" t="s">
        <v>65</v>
      </c>
      <c r="C47" s="3">
        <v>8</v>
      </c>
      <c r="D47" s="3">
        <v>0.20599999999999999</v>
      </c>
      <c r="E47" s="3">
        <v>20.6</v>
      </c>
      <c r="F47" s="3">
        <v>241.5</v>
      </c>
      <c r="G47" s="3">
        <v>4974</v>
      </c>
      <c r="H47" s="3">
        <v>1570</v>
      </c>
      <c r="I47" s="3">
        <v>826</v>
      </c>
      <c r="J47" s="6">
        <f t="shared" si="0"/>
        <v>0.16606353035786087</v>
      </c>
      <c r="K47" s="3">
        <v>3</v>
      </c>
      <c r="L47" s="3">
        <v>2575</v>
      </c>
      <c r="M47" s="3"/>
      <c r="N47" s="3"/>
      <c r="O47" s="3">
        <v>1891</v>
      </c>
      <c r="P47" s="3">
        <v>1891</v>
      </c>
      <c r="Q47" s="3">
        <v>1692</v>
      </c>
      <c r="R47" s="3">
        <v>189</v>
      </c>
      <c r="S47" s="3">
        <v>6</v>
      </c>
      <c r="T47" s="3">
        <v>4</v>
      </c>
      <c r="U47" s="3"/>
    </row>
    <row r="48" spans="1:21" x14ac:dyDescent="0.25">
      <c r="A48" s="2">
        <v>3557006</v>
      </c>
      <c r="B48" s="2" t="s">
        <v>66</v>
      </c>
      <c r="C48" s="2">
        <v>9</v>
      </c>
      <c r="D48" s="2">
        <v>0.55300000000000005</v>
      </c>
      <c r="E48" s="2">
        <v>55.3</v>
      </c>
      <c r="F48" s="2">
        <v>89</v>
      </c>
      <c r="G48" s="2">
        <v>4919</v>
      </c>
      <c r="H48" s="2">
        <v>2028</v>
      </c>
      <c r="I48" s="2">
        <v>512</v>
      </c>
      <c r="J48" s="5">
        <f t="shared" si="0"/>
        <v>0.10408619638137832</v>
      </c>
      <c r="K48" s="2">
        <v>3</v>
      </c>
      <c r="L48" s="2">
        <v>2371</v>
      </c>
      <c r="M48" s="2">
        <v>5</v>
      </c>
      <c r="N48" s="2"/>
      <c r="O48" s="2">
        <v>1613</v>
      </c>
      <c r="P48" s="2">
        <v>1613</v>
      </c>
      <c r="Q48" s="2">
        <v>1404</v>
      </c>
      <c r="R48" s="2">
        <v>77</v>
      </c>
      <c r="S48" s="2">
        <v>14</v>
      </c>
      <c r="T48" s="2">
        <v>118</v>
      </c>
      <c r="U48" s="2"/>
    </row>
    <row r="49" spans="1:21" x14ac:dyDescent="0.25">
      <c r="A49" s="3">
        <v>3543303</v>
      </c>
      <c r="B49" s="3" t="s">
        <v>67</v>
      </c>
      <c r="C49" s="3">
        <v>4</v>
      </c>
      <c r="D49" s="3">
        <v>0.315</v>
      </c>
      <c r="E49" s="3">
        <v>31.5</v>
      </c>
      <c r="F49" s="3">
        <v>148.5</v>
      </c>
      <c r="G49" s="3">
        <v>4678</v>
      </c>
      <c r="H49" s="3">
        <v>1681</v>
      </c>
      <c r="I49" s="3">
        <v>525</v>
      </c>
      <c r="J49" s="6">
        <f t="shared" si="0"/>
        <v>0.11222744762719111</v>
      </c>
      <c r="K49" s="3"/>
      <c r="L49" s="3">
        <v>2471</v>
      </c>
      <c r="M49" s="3">
        <v>1</v>
      </c>
      <c r="N49" s="3"/>
      <c r="O49" s="3">
        <v>1773</v>
      </c>
      <c r="P49" s="3">
        <v>1773</v>
      </c>
      <c r="Q49" s="3">
        <v>1629</v>
      </c>
      <c r="R49" s="3">
        <v>90</v>
      </c>
      <c r="S49" s="3">
        <v>5</v>
      </c>
      <c r="T49" s="3">
        <v>49</v>
      </c>
      <c r="U49" s="3"/>
    </row>
    <row r="50" spans="1:21" x14ac:dyDescent="0.25">
      <c r="A50" s="2">
        <v>3519071</v>
      </c>
      <c r="B50" s="2" t="s">
        <v>68</v>
      </c>
      <c r="C50" s="2">
        <v>7</v>
      </c>
      <c r="D50" s="2">
        <v>0.35799999999999998</v>
      </c>
      <c r="E50" s="2">
        <v>35.799999999999997</v>
      </c>
      <c r="F50" s="2">
        <v>118</v>
      </c>
      <c r="G50" s="2">
        <v>4223</v>
      </c>
      <c r="H50" s="2">
        <v>1270</v>
      </c>
      <c r="I50" s="2">
        <v>519</v>
      </c>
      <c r="J50" s="5">
        <f t="shared" si="0"/>
        <v>0.12289841345015391</v>
      </c>
      <c r="K50" s="2">
        <v>2</v>
      </c>
      <c r="L50" s="2">
        <v>2422</v>
      </c>
      <c r="M50" s="2">
        <v>10</v>
      </c>
      <c r="N50" s="2"/>
      <c r="O50" s="2">
        <v>1447</v>
      </c>
      <c r="P50" s="2">
        <v>1447</v>
      </c>
      <c r="Q50" s="2">
        <v>1366</v>
      </c>
      <c r="R50" s="2">
        <v>66</v>
      </c>
      <c r="S50" s="2">
        <v>15</v>
      </c>
      <c r="T50" s="2"/>
      <c r="U50" s="2"/>
    </row>
    <row r="51" spans="1:21" x14ac:dyDescent="0.25">
      <c r="A51" s="3">
        <v>3547304</v>
      </c>
      <c r="B51" s="3" t="s">
        <v>69</v>
      </c>
      <c r="C51" s="3">
        <v>8</v>
      </c>
      <c r="D51" s="3">
        <v>0.29799999999999999</v>
      </c>
      <c r="E51" s="3">
        <v>29.8</v>
      </c>
      <c r="F51" s="3">
        <v>127.3</v>
      </c>
      <c r="G51" s="3">
        <v>3793</v>
      </c>
      <c r="H51" s="3">
        <v>1165</v>
      </c>
      <c r="I51" s="3">
        <v>376</v>
      </c>
      <c r="J51" s="6">
        <f t="shared" si="0"/>
        <v>9.9129976272080145E-2</v>
      </c>
      <c r="K51" s="3">
        <v>2</v>
      </c>
      <c r="L51" s="3">
        <v>2247</v>
      </c>
      <c r="M51" s="3">
        <v>3</v>
      </c>
      <c r="N51" s="3"/>
      <c r="O51" s="3">
        <v>1356</v>
      </c>
      <c r="P51" s="3">
        <v>1356</v>
      </c>
      <c r="Q51" s="3">
        <v>1266</v>
      </c>
      <c r="R51" s="3">
        <v>83</v>
      </c>
      <c r="S51" s="3">
        <v>7</v>
      </c>
      <c r="T51" s="3"/>
      <c r="U51" s="3"/>
    </row>
    <row r="52" spans="1:21" x14ac:dyDescent="0.25">
      <c r="A52" s="2">
        <v>3528502</v>
      </c>
      <c r="B52" s="2" t="s">
        <v>70</v>
      </c>
      <c r="C52" s="2">
        <v>11</v>
      </c>
      <c r="D52" s="2">
        <v>0.65300000000000002</v>
      </c>
      <c r="E52" s="2">
        <v>65.3</v>
      </c>
      <c r="F52" s="2">
        <v>53.2</v>
      </c>
      <c r="G52" s="2">
        <v>3475</v>
      </c>
      <c r="H52" s="2">
        <v>1406</v>
      </c>
      <c r="I52" s="2">
        <v>346</v>
      </c>
      <c r="J52" s="5">
        <f t="shared" si="0"/>
        <v>9.9568345323741009E-2</v>
      </c>
      <c r="K52" s="2">
        <v>3</v>
      </c>
      <c r="L52" s="2">
        <v>1716</v>
      </c>
      <c r="M52" s="2">
        <v>4</v>
      </c>
      <c r="N52" s="2"/>
      <c r="O52" s="2">
        <v>1319</v>
      </c>
      <c r="P52" s="2">
        <v>1319</v>
      </c>
      <c r="Q52" s="2">
        <v>1181</v>
      </c>
      <c r="R52" s="2">
        <v>107</v>
      </c>
      <c r="S52" s="2">
        <v>30</v>
      </c>
      <c r="T52" s="2">
        <v>1</v>
      </c>
      <c r="U52" s="2"/>
    </row>
    <row r="53" spans="1:21" x14ac:dyDescent="0.25">
      <c r="A53" s="3">
        <v>3509601</v>
      </c>
      <c r="B53" s="3" t="s">
        <v>71</v>
      </c>
      <c r="C53" s="3">
        <v>5</v>
      </c>
      <c r="D53" s="3">
        <v>0.98099999999999998</v>
      </c>
      <c r="E53" s="3">
        <v>98.1</v>
      </c>
      <c r="F53" s="3">
        <v>34.1</v>
      </c>
      <c r="G53" s="3">
        <v>3350</v>
      </c>
      <c r="H53" s="3">
        <v>1196</v>
      </c>
      <c r="I53" s="3">
        <v>455</v>
      </c>
      <c r="J53" s="6">
        <f t="shared" si="0"/>
        <v>0.13582089552238805</v>
      </c>
      <c r="K53" s="3">
        <v>1</v>
      </c>
      <c r="L53" s="3">
        <v>1697</v>
      </c>
      <c r="M53" s="3">
        <v>1</v>
      </c>
      <c r="N53" s="3"/>
      <c r="O53" s="3">
        <v>1282</v>
      </c>
      <c r="P53" s="3">
        <v>1282</v>
      </c>
      <c r="Q53" s="3">
        <v>1004</v>
      </c>
      <c r="R53" s="3">
        <v>137</v>
      </c>
      <c r="S53" s="3">
        <v>60</v>
      </c>
      <c r="T53" s="3">
        <v>81</v>
      </c>
      <c r="U53" s="3"/>
    </row>
    <row r="54" spans="1:21" x14ac:dyDescent="0.25">
      <c r="A54" s="2">
        <v>3523909</v>
      </c>
      <c r="B54" s="2" t="s">
        <v>72</v>
      </c>
      <c r="C54" s="2">
        <v>6</v>
      </c>
      <c r="D54" s="2">
        <v>0.35099999999999998</v>
      </c>
      <c r="E54" s="2">
        <v>35.1</v>
      </c>
      <c r="F54" s="2">
        <v>92.5</v>
      </c>
      <c r="G54" s="2">
        <v>3245</v>
      </c>
      <c r="H54" s="2">
        <v>1291</v>
      </c>
      <c r="I54" s="2">
        <v>268</v>
      </c>
      <c r="J54" s="5">
        <f t="shared" si="0"/>
        <v>8.2588597842835135E-2</v>
      </c>
      <c r="K54" s="2"/>
      <c r="L54" s="2">
        <v>1686</v>
      </c>
      <c r="M54" s="2"/>
      <c r="N54" s="2"/>
      <c r="O54" s="2">
        <v>1260</v>
      </c>
      <c r="P54" s="2">
        <v>1260</v>
      </c>
      <c r="Q54" s="2">
        <v>1061</v>
      </c>
      <c r="R54" s="2">
        <v>165</v>
      </c>
      <c r="S54" s="2">
        <v>28</v>
      </c>
      <c r="T54" s="2">
        <v>6</v>
      </c>
      <c r="U54" s="2"/>
    </row>
    <row r="55" spans="1:21" x14ac:dyDescent="0.25">
      <c r="A55" s="3">
        <v>3529005</v>
      </c>
      <c r="B55" s="3" t="s">
        <v>73</v>
      </c>
      <c r="C55" s="3">
        <v>13</v>
      </c>
      <c r="D55" s="3">
        <v>0.75800000000000001</v>
      </c>
      <c r="E55" s="3">
        <v>75.8</v>
      </c>
      <c r="F55" s="3">
        <v>42.1</v>
      </c>
      <c r="G55" s="3">
        <v>3190</v>
      </c>
      <c r="H55" s="3">
        <v>1127</v>
      </c>
      <c r="I55" s="3">
        <v>413</v>
      </c>
      <c r="J55" s="6">
        <f t="shared" si="0"/>
        <v>0.12946708463949844</v>
      </c>
      <c r="K55" s="3">
        <v>4</v>
      </c>
      <c r="L55" s="3">
        <v>1636</v>
      </c>
      <c r="M55" s="3">
        <v>10</v>
      </c>
      <c r="N55" s="3"/>
      <c r="O55" s="3">
        <v>1222</v>
      </c>
      <c r="P55" s="3">
        <v>1222</v>
      </c>
      <c r="Q55" s="3">
        <v>1084</v>
      </c>
      <c r="R55" s="3">
        <v>127</v>
      </c>
      <c r="S55" s="3">
        <v>10</v>
      </c>
      <c r="T55" s="3">
        <v>1</v>
      </c>
      <c r="U55" s="3"/>
    </row>
    <row r="56" spans="1:21" x14ac:dyDescent="0.25">
      <c r="A56" s="2">
        <v>3539103</v>
      </c>
      <c r="B56" s="2" t="s">
        <v>74</v>
      </c>
      <c r="C56" s="2">
        <v>4</v>
      </c>
      <c r="D56" s="2">
        <v>0.21299999999999999</v>
      </c>
      <c r="E56" s="2">
        <v>21.3</v>
      </c>
      <c r="F56" s="2">
        <v>139.80000000000001</v>
      </c>
      <c r="G56" s="2">
        <v>2978</v>
      </c>
      <c r="H56" s="2">
        <v>897</v>
      </c>
      <c r="I56" s="2">
        <v>436</v>
      </c>
      <c r="J56" s="5">
        <f t="shared" si="0"/>
        <v>0.14640698455339154</v>
      </c>
      <c r="K56" s="2">
        <v>1</v>
      </c>
      <c r="L56" s="2">
        <v>1628</v>
      </c>
      <c r="M56" s="2">
        <v>16</v>
      </c>
      <c r="N56" s="2"/>
      <c r="O56" s="2">
        <v>982</v>
      </c>
      <c r="P56" s="2">
        <v>982</v>
      </c>
      <c r="Q56" s="2">
        <v>901</v>
      </c>
      <c r="R56" s="2">
        <v>57</v>
      </c>
      <c r="S56" s="2">
        <v>20</v>
      </c>
      <c r="T56" s="2">
        <v>4</v>
      </c>
      <c r="U56" s="2"/>
    </row>
    <row r="57" spans="1:21" x14ac:dyDescent="0.25">
      <c r="A57" s="3">
        <v>3554805</v>
      </c>
      <c r="B57" s="3" t="s">
        <v>75</v>
      </c>
      <c r="C57" s="3">
        <v>6</v>
      </c>
      <c r="D57" s="3">
        <v>1.64</v>
      </c>
      <c r="E57" s="3">
        <v>164</v>
      </c>
      <c r="F57" s="3">
        <v>17</v>
      </c>
      <c r="G57" s="3">
        <v>2788</v>
      </c>
      <c r="H57" s="3">
        <v>1366</v>
      </c>
      <c r="I57" s="3">
        <v>196</v>
      </c>
      <c r="J57" s="6">
        <f t="shared" si="0"/>
        <v>7.0301291248206596E-2</v>
      </c>
      <c r="K57" s="3">
        <v>1</v>
      </c>
      <c r="L57" s="3">
        <v>1223</v>
      </c>
      <c r="M57" s="3">
        <v>2</v>
      </c>
      <c r="N57" s="3"/>
      <c r="O57" s="3">
        <v>1166</v>
      </c>
      <c r="P57" s="3">
        <v>1166</v>
      </c>
      <c r="Q57" s="3">
        <v>902</v>
      </c>
      <c r="R57" s="3">
        <v>146</v>
      </c>
      <c r="S57" s="3">
        <v>117</v>
      </c>
      <c r="T57" s="3">
        <v>1</v>
      </c>
      <c r="U57" s="3"/>
    </row>
    <row r="58" spans="1:21" x14ac:dyDescent="0.25">
      <c r="A58" s="2">
        <v>3550605</v>
      </c>
      <c r="B58" s="2" t="s">
        <v>76</v>
      </c>
      <c r="C58" s="2">
        <v>7</v>
      </c>
      <c r="D58" s="2">
        <v>0.47499999999999998</v>
      </c>
      <c r="E58" s="2">
        <v>47.5</v>
      </c>
      <c r="F58" s="2">
        <v>53.1</v>
      </c>
      <c r="G58" s="2">
        <v>2521</v>
      </c>
      <c r="H58" s="2">
        <v>1054</v>
      </c>
      <c r="I58" s="2">
        <v>254</v>
      </c>
      <c r="J58" s="5">
        <f t="shared" si="0"/>
        <v>0.10075366917889726</v>
      </c>
      <c r="K58" s="2">
        <v>8</v>
      </c>
      <c r="L58" s="2">
        <v>1205</v>
      </c>
      <c r="M58" s="2"/>
      <c r="N58" s="2"/>
      <c r="O58" s="2">
        <v>884</v>
      </c>
      <c r="P58" s="2">
        <v>884</v>
      </c>
      <c r="Q58" s="2">
        <v>791</v>
      </c>
      <c r="R58" s="2">
        <v>73</v>
      </c>
      <c r="S58" s="2">
        <v>19</v>
      </c>
      <c r="T58" s="2">
        <v>1</v>
      </c>
      <c r="U58" s="2"/>
    </row>
    <row r="59" spans="1:21" x14ac:dyDescent="0.25">
      <c r="A59" s="3">
        <v>3506607</v>
      </c>
      <c r="B59" s="3" t="s">
        <v>77</v>
      </c>
      <c r="C59" s="3">
        <v>4</v>
      </c>
      <c r="D59" s="3">
        <v>0.14599999999999999</v>
      </c>
      <c r="E59" s="3">
        <v>14.6</v>
      </c>
      <c r="F59" s="3">
        <v>164.4</v>
      </c>
      <c r="G59" s="3">
        <v>2400</v>
      </c>
      <c r="H59" s="3">
        <v>1023</v>
      </c>
      <c r="I59" s="3">
        <v>191</v>
      </c>
      <c r="J59" s="6">
        <f t="shared" si="0"/>
        <v>7.9583333333333339E-2</v>
      </c>
      <c r="K59" s="3"/>
      <c r="L59" s="3">
        <v>1181</v>
      </c>
      <c r="M59" s="3">
        <v>5</v>
      </c>
      <c r="N59" s="3"/>
      <c r="O59" s="3">
        <v>886</v>
      </c>
      <c r="P59" s="3">
        <v>886</v>
      </c>
      <c r="Q59" s="3">
        <v>795</v>
      </c>
      <c r="R59" s="3">
        <v>70</v>
      </c>
      <c r="S59" s="3">
        <v>21</v>
      </c>
      <c r="T59" s="3"/>
      <c r="U59" s="3"/>
    </row>
    <row r="60" spans="1:21" x14ac:dyDescent="0.25">
      <c r="A60" s="2">
        <v>3539806</v>
      </c>
      <c r="B60" s="2" t="s">
        <v>78</v>
      </c>
      <c r="C60" s="2">
        <v>4</v>
      </c>
      <c r="D60" s="2">
        <v>0.27200000000000002</v>
      </c>
      <c r="E60" s="2">
        <v>27.2</v>
      </c>
      <c r="F60" s="2">
        <v>75</v>
      </c>
      <c r="G60" s="2">
        <v>2040</v>
      </c>
      <c r="H60" s="2">
        <v>723</v>
      </c>
      <c r="I60" s="2">
        <v>254</v>
      </c>
      <c r="J60" s="5">
        <f t="shared" si="0"/>
        <v>0.12450980392156863</v>
      </c>
      <c r="K60" s="2">
        <v>4</v>
      </c>
      <c r="L60" s="2">
        <v>1055</v>
      </c>
      <c r="M60" s="2">
        <v>4</v>
      </c>
      <c r="N60" s="2"/>
      <c r="O60" s="2">
        <v>775</v>
      </c>
      <c r="P60" s="2">
        <v>775</v>
      </c>
      <c r="Q60" s="2">
        <v>677</v>
      </c>
      <c r="R60" s="2">
        <v>73</v>
      </c>
      <c r="S60" s="2">
        <v>25</v>
      </c>
      <c r="T60" s="2"/>
      <c r="U60" s="2"/>
    </row>
    <row r="61" spans="1:21" x14ac:dyDescent="0.25">
      <c r="A61" s="3">
        <v>3512803</v>
      </c>
      <c r="B61" s="3" t="s">
        <v>79</v>
      </c>
      <c r="C61" s="3">
        <v>4</v>
      </c>
      <c r="D61" s="3">
        <v>0.16500000000000001</v>
      </c>
      <c r="E61" s="3">
        <v>16.5</v>
      </c>
      <c r="F61" s="3">
        <v>100.1</v>
      </c>
      <c r="G61" s="3">
        <v>1652</v>
      </c>
      <c r="H61" s="3">
        <v>468</v>
      </c>
      <c r="I61" s="3">
        <v>250</v>
      </c>
      <c r="J61" s="6">
        <f t="shared" si="0"/>
        <v>0.1513317191283293</v>
      </c>
      <c r="K61" s="3">
        <v>1</v>
      </c>
      <c r="L61" s="3">
        <v>933</v>
      </c>
      <c r="M61" s="3"/>
      <c r="N61" s="3"/>
      <c r="O61" s="3">
        <v>716</v>
      </c>
      <c r="P61" s="3">
        <v>716</v>
      </c>
      <c r="Q61" s="3">
        <v>597</v>
      </c>
      <c r="R61" s="3">
        <v>73</v>
      </c>
      <c r="S61" s="3">
        <v>44</v>
      </c>
      <c r="T61" s="3">
        <v>2</v>
      </c>
      <c r="U61" s="3"/>
    </row>
    <row r="62" spans="1:21" x14ac:dyDescent="0.25">
      <c r="A62" s="2">
        <v>3550407</v>
      </c>
      <c r="B62" s="2" t="s">
        <v>80</v>
      </c>
      <c r="C62" s="2">
        <v>1</v>
      </c>
      <c r="D62" s="2">
        <v>0.20899999999999999</v>
      </c>
      <c r="E62" s="2">
        <v>20.9</v>
      </c>
      <c r="F62" s="2">
        <v>74.5</v>
      </c>
      <c r="G62" s="2">
        <v>1557</v>
      </c>
      <c r="H62" s="2">
        <v>704</v>
      </c>
      <c r="I62" s="2">
        <v>107</v>
      </c>
      <c r="J62" s="5">
        <f t="shared" si="0"/>
        <v>6.8721901091843285E-2</v>
      </c>
      <c r="K62" s="2"/>
      <c r="L62" s="2">
        <v>746</v>
      </c>
      <c r="M62" s="2"/>
      <c r="N62" s="2"/>
      <c r="O62" s="2">
        <v>472</v>
      </c>
      <c r="P62" s="2">
        <v>472</v>
      </c>
      <c r="Q62" s="2">
        <v>441</v>
      </c>
      <c r="R62" s="2">
        <v>16</v>
      </c>
      <c r="S62" s="2">
        <v>1</v>
      </c>
      <c r="T62" s="2">
        <v>14</v>
      </c>
      <c r="U62" s="2"/>
    </row>
    <row r="63" spans="1:21" x14ac:dyDescent="0.25">
      <c r="A63" s="3">
        <v>3503901</v>
      </c>
      <c r="B63" s="3" t="s">
        <v>81</v>
      </c>
      <c r="C63" s="3">
        <v>4</v>
      </c>
      <c r="D63" s="3">
        <v>0.33800000000000002</v>
      </c>
      <c r="E63" s="3">
        <v>33.799999999999997</v>
      </c>
      <c r="F63" s="3">
        <v>40.5</v>
      </c>
      <c r="G63" s="3">
        <v>1368</v>
      </c>
      <c r="H63" s="3">
        <v>466</v>
      </c>
      <c r="I63" s="3">
        <v>143</v>
      </c>
      <c r="J63" s="6">
        <f t="shared" si="0"/>
        <v>0.10453216374269006</v>
      </c>
      <c r="K63" s="3">
        <v>1</v>
      </c>
      <c r="L63" s="3">
        <v>758</v>
      </c>
      <c r="M63" s="3"/>
      <c r="N63" s="3"/>
      <c r="O63" s="3">
        <v>460</v>
      </c>
      <c r="P63" s="3">
        <v>460</v>
      </c>
      <c r="Q63" s="3">
        <v>409</v>
      </c>
      <c r="R63" s="3">
        <v>32</v>
      </c>
      <c r="S63" s="3">
        <v>19</v>
      </c>
      <c r="T63" s="3"/>
      <c r="U63" s="3"/>
    </row>
    <row r="64" spans="1:21" x14ac:dyDescent="0.25">
      <c r="A64" s="2">
        <v>3519709</v>
      </c>
      <c r="B64" s="2" t="s">
        <v>82</v>
      </c>
      <c r="C64" s="2">
        <v>3</v>
      </c>
      <c r="D64" s="2">
        <v>0.19800000000000001</v>
      </c>
      <c r="E64" s="2">
        <v>19.8</v>
      </c>
      <c r="F64" s="2">
        <v>63.2</v>
      </c>
      <c r="G64" s="2">
        <v>1252</v>
      </c>
      <c r="H64" s="2">
        <v>625</v>
      </c>
      <c r="I64" s="2">
        <v>121</v>
      </c>
      <c r="J64" s="5">
        <f t="shared" si="0"/>
        <v>9.6645367412140581E-2</v>
      </c>
      <c r="K64" s="2">
        <v>6</v>
      </c>
      <c r="L64" s="2">
        <v>491</v>
      </c>
      <c r="M64" s="2">
        <v>9</v>
      </c>
      <c r="N64" s="2"/>
      <c r="O64" s="2">
        <v>466</v>
      </c>
      <c r="P64" s="2">
        <v>466</v>
      </c>
      <c r="Q64" s="2">
        <v>408</v>
      </c>
      <c r="R64" s="2">
        <v>49</v>
      </c>
      <c r="S64" s="2">
        <v>8</v>
      </c>
      <c r="T64" s="2">
        <v>1</v>
      </c>
      <c r="U64" s="2"/>
    </row>
    <row r="65" spans="1:21" x14ac:dyDescent="0.25">
      <c r="A65" s="3">
        <v>3540705</v>
      </c>
      <c r="B65" s="3" t="s">
        <v>83</v>
      </c>
      <c r="C65" s="3">
        <v>1</v>
      </c>
      <c r="D65" s="3">
        <v>0.16900000000000001</v>
      </c>
      <c r="E65" s="3">
        <v>16.899999999999999</v>
      </c>
      <c r="F65" s="3">
        <v>73</v>
      </c>
      <c r="G65" s="3">
        <v>1234</v>
      </c>
      <c r="H65" s="3">
        <v>343</v>
      </c>
      <c r="I65" s="3">
        <v>97</v>
      </c>
      <c r="J65" s="6">
        <f t="shared" si="0"/>
        <v>7.8606158833063211E-2</v>
      </c>
      <c r="K65" s="3"/>
      <c r="L65" s="3">
        <v>794</v>
      </c>
      <c r="M65" s="3"/>
      <c r="N65" s="3"/>
      <c r="O65" s="3">
        <v>430</v>
      </c>
      <c r="P65" s="3">
        <v>430</v>
      </c>
      <c r="Q65" s="3">
        <v>375</v>
      </c>
      <c r="R65" s="3">
        <v>48</v>
      </c>
      <c r="S65" s="3">
        <v>7</v>
      </c>
      <c r="T65" s="3"/>
      <c r="U65" s="3"/>
    </row>
    <row r="66" spans="1:21" x14ac:dyDescent="0.25">
      <c r="A66" s="2">
        <v>3513405</v>
      </c>
      <c r="B66" s="2" t="s">
        <v>84</v>
      </c>
      <c r="C66" s="2">
        <v>4</v>
      </c>
      <c r="D66" s="2">
        <v>0.126</v>
      </c>
      <c r="E66" s="2">
        <v>12.6</v>
      </c>
      <c r="F66" s="2">
        <v>88</v>
      </c>
      <c r="G66" s="2">
        <v>1109</v>
      </c>
      <c r="H66" s="2">
        <v>499</v>
      </c>
      <c r="I66" s="2">
        <v>114</v>
      </c>
      <c r="J66" s="5">
        <f t="shared" si="0"/>
        <v>0.10279531109107304</v>
      </c>
      <c r="K66" s="2">
        <v>1</v>
      </c>
      <c r="L66" s="2">
        <v>495</v>
      </c>
      <c r="M66" s="2"/>
      <c r="N66" s="2"/>
      <c r="O66" s="2">
        <v>393</v>
      </c>
      <c r="P66" s="2">
        <v>393</v>
      </c>
      <c r="Q66" s="2">
        <v>344</v>
      </c>
      <c r="R66" s="2">
        <v>26</v>
      </c>
      <c r="S66" s="2">
        <v>22</v>
      </c>
      <c r="T66" s="2">
        <v>1</v>
      </c>
      <c r="U66" s="2"/>
    </row>
    <row r="67" spans="1:21" x14ac:dyDescent="0.25">
      <c r="A67" s="3">
        <v>3527207</v>
      </c>
      <c r="B67" s="3" t="s">
        <v>85</v>
      </c>
      <c r="C67" s="3">
        <v>1</v>
      </c>
      <c r="D67" s="3">
        <v>0.12</v>
      </c>
      <c r="E67" s="3">
        <v>12</v>
      </c>
      <c r="F67" s="3">
        <v>85.4</v>
      </c>
      <c r="G67" s="3">
        <v>1025</v>
      </c>
      <c r="H67" s="3">
        <v>419</v>
      </c>
      <c r="I67" s="3">
        <v>93</v>
      </c>
      <c r="J67" s="6">
        <f t="shared" ref="J67:J93" si="1">I67/G67</f>
        <v>9.0731707317073168E-2</v>
      </c>
      <c r="K67" s="3"/>
      <c r="L67" s="3">
        <v>513</v>
      </c>
      <c r="M67" s="3"/>
      <c r="N67" s="3"/>
      <c r="O67" s="3">
        <v>336</v>
      </c>
      <c r="P67" s="3">
        <v>336</v>
      </c>
      <c r="Q67" s="3">
        <v>306</v>
      </c>
      <c r="R67" s="3">
        <v>24</v>
      </c>
      <c r="S67" s="3">
        <v>6</v>
      </c>
      <c r="T67" s="3"/>
      <c r="U67" s="3"/>
    </row>
    <row r="68" spans="1:21" x14ac:dyDescent="0.25">
      <c r="A68" s="2">
        <v>3518404</v>
      </c>
      <c r="B68" s="2" t="s">
        <v>86</v>
      </c>
      <c r="C68" s="2">
        <v>1</v>
      </c>
      <c r="D68" s="2">
        <v>0.22900000000000001</v>
      </c>
      <c r="E68" s="2">
        <v>22.9</v>
      </c>
      <c r="F68" s="2">
        <v>44.1</v>
      </c>
      <c r="G68" s="2">
        <v>1011</v>
      </c>
      <c r="H68" s="2">
        <v>452</v>
      </c>
      <c r="I68" s="2">
        <v>89</v>
      </c>
      <c r="J68" s="5">
        <f t="shared" si="1"/>
        <v>8.803165182987141E-2</v>
      </c>
      <c r="K68" s="2"/>
      <c r="L68" s="2">
        <v>470</v>
      </c>
      <c r="M68" s="2"/>
      <c r="N68" s="2"/>
      <c r="O68" s="2">
        <v>360</v>
      </c>
      <c r="P68" s="2">
        <v>360</v>
      </c>
      <c r="Q68" s="2">
        <v>246</v>
      </c>
      <c r="R68" s="2">
        <v>48</v>
      </c>
      <c r="S68" s="2">
        <v>3</v>
      </c>
      <c r="T68" s="2">
        <v>63</v>
      </c>
      <c r="U68" s="2"/>
    </row>
    <row r="69" spans="1:21" x14ac:dyDescent="0.25">
      <c r="A69" s="3">
        <v>3546405</v>
      </c>
      <c r="B69" s="3" t="s">
        <v>87</v>
      </c>
      <c r="C69" s="3">
        <v>1</v>
      </c>
      <c r="D69" s="3">
        <v>0.18099999999999999</v>
      </c>
      <c r="E69" s="3">
        <v>18.100000000000001</v>
      </c>
      <c r="F69" s="3">
        <v>55</v>
      </c>
      <c r="G69" s="3">
        <v>995</v>
      </c>
      <c r="H69" s="3">
        <v>415</v>
      </c>
      <c r="I69" s="3">
        <v>144</v>
      </c>
      <c r="J69" s="6">
        <f t="shared" si="1"/>
        <v>0.14472361809045226</v>
      </c>
      <c r="K69" s="3"/>
      <c r="L69" s="3">
        <v>435</v>
      </c>
      <c r="M69" s="3">
        <v>1</v>
      </c>
      <c r="N69" s="3"/>
      <c r="O69" s="3">
        <v>323</v>
      </c>
      <c r="P69" s="3">
        <v>323</v>
      </c>
      <c r="Q69" s="3">
        <v>293</v>
      </c>
      <c r="R69" s="3">
        <v>25</v>
      </c>
      <c r="S69" s="3">
        <v>5</v>
      </c>
      <c r="T69" s="3"/>
      <c r="U69" s="3"/>
    </row>
    <row r="70" spans="1:21" x14ac:dyDescent="0.25">
      <c r="A70" s="2">
        <v>3508405</v>
      </c>
      <c r="B70" s="2" t="s">
        <v>88</v>
      </c>
      <c r="C70" s="2">
        <v>4</v>
      </c>
      <c r="D70" s="2">
        <v>0.113</v>
      </c>
      <c r="E70" s="2">
        <v>11.3</v>
      </c>
      <c r="F70" s="2">
        <v>84.1</v>
      </c>
      <c r="G70" s="2">
        <v>950</v>
      </c>
      <c r="H70" s="2">
        <v>391</v>
      </c>
      <c r="I70" s="2">
        <v>61</v>
      </c>
      <c r="J70" s="5">
        <f t="shared" si="1"/>
        <v>6.4210526315789468E-2</v>
      </c>
      <c r="K70" s="2"/>
      <c r="L70" s="2">
        <v>498</v>
      </c>
      <c r="M70" s="2"/>
      <c r="N70" s="2"/>
      <c r="O70" s="2">
        <v>329</v>
      </c>
      <c r="P70" s="2">
        <v>329</v>
      </c>
      <c r="Q70" s="2">
        <v>296</v>
      </c>
      <c r="R70" s="2">
        <v>25</v>
      </c>
      <c r="S70" s="2">
        <v>8</v>
      </c>
      <c r="T70" s="2"/>
      <c r="U70" s="2"/>
    </row>
    <row r="71" spans="1:21" x14ac:dyDescent="0.25">
      <c r="A71" s="3">
        <v>3515103</v>
      </c>
      <c r="B71" s="3" t="s">
        <v>89</v>
      </c>
      <c r="C71" s="3">
        <v>4</v>
      </c>
      <c r="D71" s="3">
        <v>8.1000000000000003E-2</v>
      </c>
      <c r="E71" s="3">
        <v>8.1</v>
      </c>
      <c r="F71" s="3">
        <v>111.4</v>
      </c>
      <c r="G71" s="3">
        <v>902</v>
      </c>
      <c r="H71" s="3">
        <v>281</v>
      </c>
      <c r="I71" s="3">
        <v>76</v>
      </c>
      <c r="J71" s="6">
        <f t="shared" si="1"/>
        <v>8.4257206208425722E-2</v>
      </c>
      <c r="K71" s="3">
        <v>4</v>
      </c>
      <c r="L71" s="3">
        <v>540</v>
      </c>
      <c r="M71" s="3">
        <v>1</v>
      </c>
      <c r="N71" s="3"/>
      <c r="O71" s="3">
        <v>343</v>
      </c>
      <c r="P71" s="3">
        <v>343</v>
      </c>
      <c r="Q71" s="3">
        <v>289</v>
      </c>
      <c r="R71" s="3">
        <v>42</v>
      </c>
      <c r="S71" s="3">
        <v>12</v>
      </c>
      <c r="T71" s="3"/>
      <c r="U71" s="3"/>
    </row>
    <row r="72" spans="1:21" x14ac:dyDescent="0.25">
      <c r="A72" s="2">
        <v>3504909</v>
      </c>
      <c r="B72" s="2" t="s">
        <v>90</v>
      </c>
      <c r="C72" s="2">
        <v>2</v>
      </c>
      <c r="D72" s="2">
        <v>0.14199999999999999</v>
      </c>
      <c r="E72" s="2">
        <v>14.2</v>
      </c>
      <c r="F72" s="2">
        <v>59.9</v>
      </c>
      <c r="G72" s="2">
        <v>850</v>
      </c>
      <c r="H72" s="2">
        <v>320</v>
      </c>
      <c r="I72" s="2">
        <v>124</v>
      </c>
      <c r="J72" s="5">
        <f t="shared" si="1"/>
        <v>0.14588235294117646</v>
      </c>
      <c r="K72" s="2">
        <v>1</v>
      </c>
      <c r="L72" s="2">
        <v>405</v>
      </c>
      <c r="M72" s="2"/>
      <c r="N72" s="2"/>
      <c r="O72" s="2">
        <v>393</v>
      </c>
      <c r="P72" s="2">
        <v>393</v>
      </c>
      <c r="Q72" s="2">
        <v>307</v>
      </c>
      <c r="R72" s="2">
        <v>66</v>
      </c>
      <c r="S72" s="2">
        <v>20</v>
      </c>
      <c r="T72" s="2"/>
      <c r="U72" s="2"/>
    </row>
    <row r="73" spans="1:21" x14ac:dyDescent="0.25">
      <c r="A73" s="3">
        <v>3548906</v>
      </c>
      <c r="B73" s="3" t="s">
        <v>91</v>
      </c>
      <c r="C73" s="3">
        <v>5</v>
      </c>
      <c r="D73" s="3">
        <v>0.17</v>
      </c>
      <c r="E73" s="3">
        <v>17</v>
      </c>
      <c r="F73" s="3">
        <v>46.9</v>
      </c>
      <c r="G73" s="3">
        <v>798</v>
      </c>
      <c r="H73" s="3">
        <v>230</v>
      </c>
      <c r="I73" s="3">
        <v>94</v>
      </c>
      <c r="J73" s="6">
        <f t="shared" si="1"/>
        <v>0.11779448621553884</v>
      </c>
      <c r="K73" s="3">
        <v>1</v>
      </c>
      <c r="L73" s="3">
        <v>472</v>
      </c>
      <c r="M73" s="3">
        <v>1</v>
      </c>
      <c r="N73" s="3"/>
      <c r="O73" s="3">
        <v>281</v>
      </c>
      <c r="P73" s="3">
        <v>281</v>
      </c>
      <c r="Q73" s="3">
        <v>147</v>
      </c>
      <c r="R73" s="3">
        <v>8</v>
      </c>
      <c r="S73" s="3">
        <v>14</v>
      </c>
      <c r="T73" s="3">
        <v>112</v>
      </c>
      <c r="U73" s="3"/>
    </row>
    <row r="74" spans="1:21" x14ac:dyDescent="0.25">
      <c r="A74" s="2">
        <v>3510401</v>
      </c>
      <c r="B74" s="2" t="s">
        <v>92</v>
      </c>
      <c r="C74" s="2">
        <v>3</v>
      </c>
      <c r="D74" s="2">
        <v>0.186</v>
      </c>
      <c r="E74" s="2">
        <v>18.600000000000001</v>
      </c>
      <c r="F74" s="2">
        <v>40.700000000000003</v>
      </c>
      <c r="G74" s="2">
        <v>757</v>
      </c>
      <c r="H74" s="2">
        <v>257</v>
      </c>
      <c r="I74" s="2">
        <v>91</v>
      </c>
      <c r="J74" s="5">
        <f t="shared" si="1"/>
        <v>0.1202113606340819</v>
      </c>
      <c r="K74" s="2"/>
      <c r="L74" s="2">
        <v>408</v>
      </c>
      <c r="M74" s="2">
        <v>1</v>
      </c>
      <c r="N74" s="2"/>
      <c r="O74" s="2">
        <v>303</v>
      </c>
      <c r="P74" s="2">
        <v>303</v>
      </c>
      <c r="Q74" s="2">
        <v>246</v>
      </c>
      <c r="R74" s="2">
        <v>38</v>
      </c>
      <c r="S74" s="2">
        <v>18</v>
      </c>
      <c r="T74" s="2">
        <v>1</v>
      </c>
      <c r="U74" s="2"/>
    </row>
    <row r="75" spans="1:21" x14ac:dyDescent="0.25">
      <c r="A75" s="3">
        <v>3523602</v>
      </c>
      <c r="B75" s="3" t="s">
        <v>93</v>
      </c>
      <c r="C75" s="3">
        <v>2</v>
      </c>
      <c r="D75" s="3">
        <v>0.20300000000000001</v>
      </c>
      <c r="E75" s="3">
        <v>20.3</v>
      </c>
      <c r="F75" s="3">
        <v>37.299999999999997</v>
      </c>
      <c r="G75" s="3">
        <v>757</v>
      </c>
      <c r="H75" s="3">
        <v>321</v>
      </c>
      <c r="I75" s="3">
        <v>71</v>
      </c>
      <c r="J75" s="6">
        <f t="shared" si="1"/>
        <v>9.3791281373844126E-2</v>
      </c>
      <c r="K75" s="3"/>
      <c r="L75" s="3">
        <v>365</v>
      </c>
      <c r="M75" s="3"/>
      <c r="N75" s="3"/>
      <c r="O75" s="3">
        <v>314</v>
      </c>
      <c r="P75" s="3">
        <v>314</v>
      </c>
      <c r="Q75" s="3">
        <v>265</v>
      </c>
      <c r="R75" s="3">
        <v>35</v>
      </c>
      <c r="S75" s="3">
        <v>14</v>
      </c>
      <c r="T75" s="3"/>
      <c r="U75" s="3"/>
    </row>
    <row r="76" spans="1:21" x14ac:dyDescent="0.25">
      <c r="A76" s="2">
        <v>3507506</v>
      </c>
      <c r="B76" s="2" t="s">
        <v>94</v>
      </c>
      <c r="C76" s="2">
        <v>2</v>
      </c>
      <c r="D76" s="2">
        <v>0.11600000000000001</v>
      </c>
      <c r="E76" s="2">
        <v>11.6</v>
      </c>
      <c r="F76" s="2">
        <v>51.9</v>
      </c>
      <c r="G76" s="2">
        <v>602</v>
      </c>
      <c r="H76" s="2">
        <v>235</v>
      </c>
      <c r="I76" s="2">
        <v>52</v>
      </c>
      <c r="J76" s="5">
        <f t="shared" si="1"/>
        <v>8.6378737541528236E-2</v>
      </c>
      <c r="K76" s="2">
        <v>2</v>
      </c>
      <c r="L76" s="2">
        <v>313</v>
      </c>
      <c r="M76" s="2"/>
      <c r="N76" s="2"/>
      <c r="O76" s="2">
        <v>258</v>
      </c>
      <c r="P76" s="2">
        <v>258</v>
      </c>
      <c r="Q76" s="2">
        <v>203</v>
      </c>
      <c r="R76" s="2">
        <v>50</v>
      </c>
      <c r="S76" s="2">
        <v>5</v>
      </c>
      <c r="T76" s="2"/>
      <c r="U76" s="2"/>
    </row>
    <row r="77" spans="1:21" x14ac:dyDescent="0.25">
      <c r="A77" s="3">
        <v>3528403</v>
      </c>
      <c r="B77" s="3" t="s">
        <v>95</v>
      </c>
      <c r="C77" s="3">
        <v>2</v>
      </c>
      <c r="D77" s="3">
        <v>0.27600000000000002</v>
      </c>
      <c r="E77" s="3">
        <v>27.6</v>
      </c>
      <c r="F77" s="3">
        <v>20.7</v>
      </c>
      <c r="G77" s="3">
        <v>572</v>
      </c>
      <c r="H77" s="3">
        <v>156</v>
      </c>
      <c r="I77" s="3">
        <v>60</v>
      </c>
      <c r="J77" s="6">
        <f t="shared" si="1"/>
        <v>0.1048951048951049</v>
      </c>
      <c r="K77" s="3">
        <v>3</v>
      </c>
      <c r="L77" s="3">
        <v>352</v>
      </c>
      <c r="M77" s="3">
        <v>1</v>
      </c>
      <c r="N77" s="3"/>
      <c r="O77" s="3">
        <v>210</v>
      </c>
      <c r="P77" s="3">
        <v>210</v>
      </c>
      <c r="Q77" s="3">
        <v>179</v>
      </c>
      <c r="R77" s="3">
        <v>28</v>
      </c>
      <c r="S77" s="3">
        <v>3</v>
      </c>
      <c r="T77" s="3"/>
      <c r="U77" s="3"/>
    </row>
    <row r="78" spans="1:21" x14ac:dyDescent="0.25">
      <c r="A78" s="2">
        <v>3522109</v>
      </c>
      <c r="B78" s="2" t="s">
        <v>96</v>
      </c>
      <c r="C78" s="2">
        <v>3</v>
      </c>
      <c r="D78" s="2">
        <v>0.127</v>
      </c>
      <c r="E78" s="2">
        <v>12.7</v>
      </c>
      <c r="F78" s="2">
        <v>43.6</v>
      </c>
      <c r="G78" s="2">
        <v>554</v>
      </c>
      <c r="H78" s="2">
        <v>214</v>
      </c>
      <c r="I78" s="2">
        <v>49</v>
      </c>
      <c r="J78" s="5">
        <f t="shared" si="1"/>
        <v>8.8447653429602882E-2</v>
      </c>
      <c r="K78" s="2"/>
      <c r="L78" s="2">
        <v>290</v>
      </c>
      <c r="M78" s="2">
        <v>1</v>
      </c>
      <c r="N78" s="2"/>
      <c r="O78" s="2">
        <v>279</v>
      </c>
      <c r="P78" s="2">
        <v>279</v>
      </c>
      <c r="Q78" s="2">
        <v>192</v>
      </c>
      <c r="R78" s="2">
        <v>24</v>
      </c>
      <c r="S78" s="2">
        <v>63</v>
      </c>
      <c r="T78" s="2"/>
      <c r="U78" s="2"/>
    </row>
    <row r="79" spans="1:21" x14ac:dyDescent="0.25">
      <c r="A79" s="3">
        <v>3543907</v>
      </c>
      <c r="B79" s="3" t="s">
        <v>97</v>
      </c>
      <c r="C79" s="3">
        <v>3</v>
      </c>
      <c r="D79" s="3">
        <v>0.21099999999999999</v>
      </c>
      <c r="E79" s="3">
        <v>21.1</v>
      </c>
      <c r="F79" s="3">
        <v>25.9</v>
      </c>
      <c r="G79" s="3">
        <v>546</v>
      </c>
      <c r="H79" s="3">
        <v>174</v>
      </c>
      <c r="I79" s="3">
        <v>76</v>
      </c>
      <c r="J79" s="6">
        <f t="shared" si="1"/>
        <v>0.1391941391941392</v>
      </c>
      <c r="K79" s="3"/>
      <c r="L79" s="3">
        <v>296</v>
      </c>
      <c r="M79" s="3"/>
      <c r="N79" s="3"/>
      <c r="O79" s="3">
        <v>206</v>
      </c>
      <c r="P79" s="3">
        <v>206</v>
      </c>
      <c r="Q79" s="3">
        <v>171</v>
      </c>
      <c r="R79" s="3">
        <v>17</v>
      </c>
      <c r="S79" s="3">
        <v>4</v>
      </c>
      <c r="T79" s="3">
        <v>14</v>
      </c>
      <c r="U79" s="3"/>
    </row>
    <row r="80" spans="1:21" x14ac:dyDescent="0.25">
      <c r="A80" s="2">
        <v>3501608</v>
      </c>
      <c r="B80" s="2" t="s">
        <v>98</v>
      </c>
      <c r="C80" s="2">
        <v>1</v>
      </c>
      <c r="D80" s="2">
        <v>7.4999999999999997E-2</v>
      </c>
      <c r="E80" s="2">
        <v>7.5</v>
      </c>
      <c r="F80" s="2">
        <v>64.099999999999994</v>
      </c>
      <c r="G80" s="2">
        <v>481</v>
      </c>
      <c r="H80" s="2">
        <v>145</v>
      </c>
      <c r="I80" s="2">
        <v>60</v>
      </c>
      <c r="J80" s="5">
        <f t="shared" si="1"/>
        <v>0.12474012474012475</v>
      </c>
      <c r="K80" s="2"/>
      <c r="L80" s="2">
        <v>276</v>
      </c>
      <c r="M80" s="2"/>
      <c r="N80" s="2"/>
      <c r="O80" s="2">
        <v>174</v>
      </c>
      <c r="P80" s="2">
        <v>174</v>
      </c>
      <c r="Q80" s="2">
        <v>163</v>
      </c>
      <c r="R80" s="2">
        <v>11</v>
      </c>
      <c r="S80" s="2"/>
      <c r="T80" s="2"/>
      <c r="U80" s="2"/>
    </row>
    <row r="81" spans="1:21" x14ac:dyDescent="0.25">
      <c r="A81" s="3">
        <v>3512407</v>
      </c>
      <c r="B81" s="3" t="s">
        <v>99</v>
      </c>
      <c r="C81" s="3">
        <v>2</v>
      </c>
      <c r="D81" s="3">
        <v>4.8000000000000001E-2</v>
      </c>
      <c r="E81" s="3">
        <v>4.8</v>
      </c>
      <c r="F81" s="3">
        <v>74.8</v>
      </c>
      <c r="G81" s="3">
        <v>359</v>
      </c>
      <c r="H81" s="3">
        <v>121</v>
      </c>
      <c r="I81" s="3">
        <v>80</v>
      </c>
      <c r="J81" s="6">
        <f t="shared" si="1"/>
        <v>0.22284122562674094</v>
      </c>
      <c r="K81" s="3"/>
      <c r="L81" s="3">
        <v>158</v>
      </c>
      <c r="M81" s="3"/>
      <c r="N81" s="3"/>
      <c r="O81" s="3">
        <v>100</v>
      </c>
      <c r="P81" s="3">
        <v>100</v>
      </c>
      <c r="Q81" s="3">
        <v>100</v>
      </c>
      <c r="R81" s="3"/>
      <c r="S81" s="3"/>
      <c r="T81" s="3"/>
      <c r="U81" s="3"/>
    </row>
    <row r="82" spans="1:21" x14ac:dyDescent="0.25">
      <c r="A82" s="2">
        <v>3501905</v>
      </c>
      <c r="B82" s="2" t="s">
        <v>100</v>
      </c>
      <c r="C82" s="2">
        <v>1</v>
      </c>
      <c r="D82" s="2">
        <v>0.191</v>
      </c>
      <c r="E82" s="2">
        <v>19.100000000000001</v>
      </c>
      <c r="F82" s="2">
        <v>18.8</v>
      </c>
      <c r="G82" s="2">
        <v>359</v>
      </c>
      <c r="H82" s="2">
        <v>130</v>
      </c>
      <c r="I82" s="2">
        <v>46</v>
      </c>
      <c r="J82" s="5">
        <f t="shared" si="1"/>
        <v>0.12813370473537605</v>
      </c>
      <c r="K82" s="2"/>
      <c r="L82" s="2">
        <v>183</v>
      </c>
      <c r="M82" s="2"/>
      <c r="N82" s="2"/>
      <c r="O82" s="2">
        <v>145</v>
      </c>
      <c r="P82" s="2">
        <v>144</v>
      </c>
      <c r="Q82" s="2">
        <v>110</v>
      </c>
      <c r="R82" s="2">
        <v>17</v>
      </c>
      <c r="S82" s="2">
        <v>17</v>
      </c>
      <c r="T82" s="2"/>
      <c r="U82" s="2">
        <v>1</v>
      </c>
    </row>
    <row r="83" spans="1:21" x14ac:dyDescent="0.25">
      <c r="A83" s="3">
        <v>3508504</v>
      </c>
      <c r="B83" s="3" t="s">
        <v>101</v>
      </c>
      <c r="C83" s="3">
        <v>1</v>
      </c>
      <c r="D83" s="3">
        <v>2.7E-2</v>
      </c>
      <c r="E83" s="3">
        <v>2.7</v>
      </c>
      <c r="F83" s="3">
        <v>127</v>
      </c>
      <c r="G83" s="3">
        <v>343</v>
      </c>
      <c r="H83" s="3">
        <v>110</v>
      </c>
      <c r="I83" s="3">
        <v>24</v>
      </c>
      <c r="J83" s="6">
        <f t="shared" si="1"/>
        <v>6.9970845481049565E-2</v>
      </c>
      <c r="K83" s="3"/>
      <c r="L83" s="3">
        <v>209</v>
      </c>
      <c r="M83" s="3"/>
      <c r="N83" s="3"/>
      <c r="O83" s="3">
        <v>126</v>
      </c>
      <c r="P83" s="3">
        <v>126</v>
      </c>
      <c r="Q83" s="3">
        <v>104</v>
      </c>
      <c r="R83" s="3">
        <v>21</v>
      </c>
      <c r="S83" s="3">
        <v>1</v>
      </c>
      <c r="T83" s="3"/>
      <c r="U83" s="3"/>
    </row>
    <row r="84" spans="1:21" x14ac:dyDescent="0.25">
      <c r="A84" s="2">
        <v>3545209</v>
      </c>
      <c r="B84" s="2" t="s">
        <v>102</v>
      </c>
      <c r="C84" s="2">
        <v>1</v>
      </c>
      <c r="D84" s="2">
        <v>1.2E-2</v>
      </c>
      <c r="E84" s="2">
        <v>1.2</v>
      </c>
      <c r="F84" s="2">
        <v>279.2</v>
      </c>
      <c r="G84" s="2">
        <v>335</v>
      </c>
      <c r="H84" s="2">
        <v>111</v>
      </c>
      <c r="I84" s="2">
        <v>53</v>
      </c>
      <c r="J84" s="5">
        <f t="shared" si="1"/>
        <v>0.15820895522388059</v>
      </c>
      <c r="K84" s="2"/>
      <c r="L84" s="2">
        <v>169</v>
      </c>
      <c r="M84" s="2">
        <v>2</v>
      </c>
      <c r="N84" s="2"/>
      <c r="O84" s="2">
        <v>131</v>
      </c>
      <c r="P84" s="2">
        <v>131</v>
      </c>
      <c r="Q84" s="2">
        <v>113</v>
      </c>
      <c r="R84" s="2">
        <v>17</v>
      </c>
      <c r="S84" s="2">
        <v>1</v>
      </c>
      <c r="T84" s="2"/>
      <c r="U84" s="2"/>
    </row>
    <row r="85" spans="1:21" x14ac:dyDescent="0.25">
      <c r="A85" s="3">
        <v>3537602</v>
      </c>
      <c r="B85" s="3" t="s">
        <v>103</v>
      </c>
      <c r="C85" s="3">
        <v>1</v>
      </c>
      <c r="D85" s="3">
        <v>3.2000000000000001E-2</v>
      </c>
      <c r="E85" s="3">
        <v>3.2</v>
      </c>
      <c r="F85" s="3">
        <v>86.6</v>
      </c>
      <c r="G85" s="3">
        <v>277</v>
      </c>
      <c r="H85" s="3">
        <v>86</v>
      </c>
      <c r="I85" s="3">
        <v>30</v>
      </c>
      <c r="J85" s="6">
        <f t="shared" si="1"/>
        <v>0.10830324909747292</v>
      </c>
      <c r="K85" s="3"/>
      <c r="L85" s="3">
        <v>161</v>
      </c>
      <c r="M85" s="3"/>
      <c r="N85" s="3"/>
      <c r="O85" s="3">
        <v>98</v>
      </c>
      <c r="P85" s="3">
        <v>98</v>
      </c>
      <c r="Q85" s="3">
        <v>87</v>
      </c>
      <c r="R85" s="3">
        <v>9</v>
      </c>
      <c r="S85" s="3">
        <v>2</v>
      </c>
      <c r="T85" s="3"/>
      <c r="U85" s="3"/>
    </row>
    <row r="86" spans="1:21" x14ac:dyDescent="0.25">
      <c r="A86" s="2">
        <v>3519501</v>
      </c>
      <c r="B86" s="2" t="s">
        <v>104</v>
      </c>
      <c r="C86" s="2">
        <v>1</v>
      </c>
      <c r="D86" s="2">
        <v>2.7E-2</v>
      </c>
      <c r="E86" s="2">
        <v>2.7</v>
      </c>
      <c r="F86" s="2">
        <v>99.3</v>
      </c>
      <c r="G86" s="2">
        <v>268</v>
      </c>
      <c r="H86" s="2">
        <v>114</v>
      </c>
      <c r="I86" s="2">
        <v>31</v>
      </c>
      <c r="J86" s="5">
        <f t="shared" si="1"/>
        <v>0.11567164179104478</v>
      </c>
      <c r="K86" s="2"/>
      <c r="L86" s="2">
        <v>123</v>
      </c>
      <c r="M86" s="2"/>
      <c r="N86" s="2"/>
      <c r="O86" s="2">
        <v>107</v>
      </c>
      <c r="P86" s="2">
        <v>107</v>
      </c>
      <c r="Q86" s="2">
        <v>87</v>
      </c>
      <c r="R86" s="2">
        <v>18</v>
      </c>
      <c r="S86" s="2">
        <v>2</v>
      </c>
      <c r="T86" s="2"/>
      <c r="U86" s="2"/>
    </row>
    <row r="87" spans="1:21" x14ac:dyDescent="0.25">
      <c r="A87" s="3">
        <v>3527306</v>
      </c>
      <c r="B87" s="3" t="s">
        <v>105</v>
      </c>
      <c r="C87" s="3">
        <v>1</v>
      </c>
      <c r="D87" s="3">
        <v>1.0999999999999999E-2</v>
      </c>
      <c r="E87" s="3">
        <v>1.1000000000000001</v>
      </c>
      <c r="F87" s="3">
        <v>223.6</v>
      </c>
      <c r="G87" s="3">
        <v>246</v>
      </c>
      <c r="H87" s="3">
        <v>94</v>
      </c>
      <c r="I87" s="3">
        <v>13</v>
      </c>
      <c r="J87" s="6">
        <f t="shared" si="1"/>
        <v>5.2845528455284556E-2</v>
      </c>
      <c r="K87" s="3"/>
      <c r="L87" s="3">
        <v>139</v>
      </c>
      <c r="M87" s="3"/>
      <c r="N87" s="3"/>
      <c r="O87" s="3">
        <v>79</v>
      </c>
      <c r="P87" s="3">
        <v>79</v>
      </c>
      <c r="Q87" s="3">
        <v>79</v>
      </c>
      <c r="R87" s="3"/>
      <c r="S87" s="3"/>
      <c r="T87" s="3"/>
      <c r="U87" s="3"/>
    </row>
    <row r="88" spans="1:21" x14ac:dyDescent="0.25">
      <c r="A88" s="2">
        <v>3507605</v>
      </c>
      <c r="B88" s="2" t="s">
        <v>106</v>
      </c>
      <c r="C88" s="2">
        <v>1</v>
      </c>
      <c r="D88" s="2">
        <v>1.9E-2</v>
      </c>
      <c r="E88" s="2">
        <v>1.9</v>
      </c>
      <c r="F88" s="2">
        <v>117.4</v>
      </c>
      <c r="G88" s="2">
        <v>223</v>
      </c>
      <c r="H88" s="2">
        <v>95</v>
      </c>
      <c r="I88" s="2">
        <v>17</v>
      </c>
      <c r="J88" s="5">
        <f t="shared" si="1"/>
        <v>7.623318385650224E-2</v>
      </c>
      <c r="K88" s="2"/>
      <c r="L88" s="2">
        <v>111</v>
      </c>
      <c r="M88" s="2"/>
      <c r="N88" s="2"/>
      <c r="O88" s="2">
        <v>90</v>
      </c>
      <c r="P88" s="2">
        <v>90</v>
      </c>
      <c r="Q88" s="2">
        <v>83</v>
      </c>
      <c r="R88" s="2">
        <v>1</v>
      </c>
      <c r="S88" s="2">
        <v>2</v>
      </c>
      <c r="T88" s="2">
        <v>4</v>
      </c>
      <c r="U88" s="2"/>
    </row>
    <row r="89" spans="1:21" x14ac:dyDescent="0.25">
      <c r="A89" s="3">
        <v>3504503</v>
      </c>
      <c r="B89" s="3" t="s">
        <v>107</v>
      </c>
      <c r="C89" s="3">
        <v>1</v>
      </c>
      <c r="D89" s="3">
        <v>5.5E-2</v>
      </c>
      <c r="E89" s="3">
        <v>5.5</v>
      </c>
      <c r="F89" s="3">
        <v>30.9</v>
      </c>
      <c r="G89" s="3">
        <v>170</v>
      </c>
      <c r="H89" s="3">
        <v>63</v>
      </c>
      <c r="I89" s="3">
        <v>12</v>
      </c>
      <c r="J89" s="6">
        <f t="shared" si="1"/>
        <v>7.0588235294117646E-2</v>
      </c>
      <c r="K89" s="3"/>
      <c r="L89" s="3">
        <v>95</v>
      </c>
      <c r="M89" s="3"/>
      <c r="N89" s="3"/>
      <c r="O89" s="3">
        <v>70</v>
      </c>
      <c r="P89" s="3">
        <v>70</v>
      </c>
      <c r="Q89" s="3">
        <v>24</v>
      </c>
      <c r="R89" s="3">
        <v>20</v>
      </c>
      <c r="S89" s="3">
        <v>1</v>
      </c>
      <c r="T89" s="3">
        <v>25</v>
      </c>
      <c r="U89" s="3"/>
    </row>
    <row r="90" spans="1:21" x14ac:dyDescent="0.25">
      <c r="A90" s="2">
        <v>3536703</v>
      </c>
      <c r="B90" s="2" t="s">
        <v>108</v>
      </c>
      <c r="C90" s="2">
        <v>1</v>
      </c>
      <c r="D90" s="2">
        <v>0.39600000000000002</v>
      </c>
      <c r="E90" s="2">
        <v>39.6</v>
      </c>
      <c r="F90" s="2">
        <v>4</v>
      </c>
      <c r="G90" s="2">
        <v>158</v>
      </c>
      <c r="H90" s="2">
        <v>76</v>
      </c>
      <c r="I90" s="2">
        <v>13</v>
      </c>
      <c r="J90" s="5">
        <f t="shared" si="1"/>
        <v>8.2278481012658222E-2</v>
      </c>
      <c r="K90" s="2">
        <v>1</v>
      </c>
      <c r="L90" s="2">
        <v>68</v>
      </c>
      <c r="M90" s="2"/>
      <c r="N90" s="2"/>
      <c r="O90" s="2">
        <v>101</v>
      </c>
      <c r="P90" s="2">
        <v>101</v>
      </c>
      <c r="Q90" s="2">
        <v>58</v>
      </c>
      <c r="R90" s="2">
        <v>10</v>
      </c>
      <c r="S90" s="2">
        <v>29</v>
      </c>
      <c r="T90" s="2">
        <v>4</v>
      </c>
      <c r="U90" s="2"/>
    </row>
    <row r="91" spans="1:21" x14ac:dyDescent="0.25">
      <c r="A91" s="3">
        <v>3552700</v>
      </c>
      <c r="B91" s="3" t="s">
        <v>109</v>
      </c>
      <c r="C91" s="3">
        <v>1</v>
      </c>
      <c r="D91" s="3">
        <v>1.4E-2</v>
      </c>
      <c r="E91" s="3">
        <v>1.4</v>
      </c>
      <c r="F91" s="3">
        <v>110</v>
      </c>
      <c r="G91" s="3">
        <v>154</v>
      </c>
      <c r="H91" s="3">
        <v>39</v>
      </c>
      <c r="I91" s="3">
        <v>12</v>
      </c>
      <c r="J91" s="6">
        <f t="shared" si="1"/>
        <v>7.792207792207792E-2</v>
      </c>
      <c r="K91" s="3"/>
      <c r="L91" s="3">
        <v>103</v>
      </c>
      <c r="M91" s="3"/>
      <c r="N91" s="3"/>
      <c r="O91" s="3">
        <v>63</v>
      </c>
      <c r="P91" s="3">
        <v>63</v>
      </c>
      <c r="Q91" s="3">
        <v>55</v>
      </c>
      <c r="R91" s="3">
        <v>8</v>
      </c>
      <c r="S91" s="3"/>
      <c r="T91" s="3"/>
      <c r="U91" s="3"/>
    </row>
    <row r="92" spans="1:21" x14ac:dyDescent="0.25">
      <c r="A92" s="2">
        <v>3538006</v>
      </c>
      <c r="B92" s="2" t="s">
        <v>110</v>
      </c>
      <c r="C92" s="2">
        <v>1</v>
      </c>
      <c r="D92" s="2">
        <v>2.5000000000000001E-2</v>
      </c>
      <c r="E92" s="2">
        <v>2.5</v>
      </c>
      <c r="F92" s="2">
        <v>59.2</v>
      </c>
      <c r="G92" s="2">
        <v>148</v>
      </c>
      <c r="H92" s="2">
        <v>56</v>
      </c>
      <c r="I92" s="2">
        <v>29</v>
      </c>
      <c r="J92" s="5">
        <f t="shared" si="1"/>
        <v>0.19594594594594594</v>
      </c>
      <c r="K92" s="2"/>
      <c r="L92" s="2">
        <v>63</v>
      </c>
      <c r="M92" s="2"/>
      <c r="N92" s="2"/>
      <c r="O92" s="2">
        <v>60</v>
      </c>
      <c r="P92" s="2">
        <v>60</v>
      </c>
      <c r="Q92" s="2">
        <v>48</v>
      </c>
      <c r="R92" s="2">
        <v>10</v>
      </c>
      <c r="S92" s="2">
        <v>2</v>
      </c>
      <c r="T92" s="2"/>
      <c r="U92" s="2"/>
    </row>
    <row r="93" spans="1:21" x14ac:dyDescent="0.25">
      <c r="A93" s="3">
        <v>3541307</v>
      </c>
      <c r="B93" s="3" t="s">
        <v>111</v>
      </c>
      <c r="C93" s="3">
        <v>1</v>
      </c>
      <c r="D93" s="3">
        <v>7.0999999999999994E-2</v>
      </c>
      <c r="E93" s="3">
        <v>7.1</v>
      </c>
      <c r="F93" s="3">
        <v>13.5</v>
      </c>
      <c r="G93" s="3">
        <v>96</v>
      </c>
      <c r="H93" s="3">
        <v>30</v>
      </c>
      <c r="I93" s="3">
        <v>5</v>
      </c>
      <c r="J93" s="6">
        <f t="shared" si="1"/>
        <v>5.2083333333333336E-2</v>
      </c>
      <c r="K93" s="3"/>
      <c r="L93" s="3">
        <v>61</v>
      </c>
      <c r="M93" s="3"/>
      <c r="N93" s="3"/>
      <c r="O93" s="3">
        <v>46</v>
      </c>
      <c r="P93" s="3">
        <v>45</v>
      </c>
      <c r="Q93" s="3">
        <v>33</v>
      </c>
      <c r="R93" s="3">
        <v>8</v>
      </c>
      <c r="S93" s="3">
        <v>3</v>
      </c>
      <c r="T93" s="3">
        <v>1</v>
      </c>
      <c r="U93" s="3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"/>
  <sheetViews>
    <sheetView tabSelected="1" workbookViewId="0">
      <selection activeCell="I15" sqref="I15"/>
    </sheetView>
  </sheetViews>
  <sheetFormatPr defaultRowHeight="15" x14ac:dyDescent="0.25"/>
  <cols>
    <col min="1" max="1" width="10.140625" customWidth="1"/>
  </cols>
  <sheetData>
    <row r="3" spans="1:10" x14ac:dyDescent="0.25">
      <c r="J3" t="s">
        <v>113</v>
      </c>
    </row>
    <row r="4" spans="1:10" x14ac:dyDescent="0.25">
      <c r="A4" t="s">
        <v>115</v>
      </c>
      <c r="J4" s="7">
        <v>0.39</v>
      </c>
    </row>
    <row r="5" spans="1:10" x14ac:dyDescent="0.25">
      <c r="A5" s="8">
        <f>MAX(Planilha2!J:J)</f>
        <v>0.22284122562674094</v>
      </c>
      <c r="J5" t="s">
        <v>120</v>
      </c>
    </row>
    <row r="6" spans="1:10" x14ac:dyDescent="0.25">
      <c r="A6">
        <f>MATCH(A5,Planilha2!J:J,0)</f>
        <v>81</v>
      </c>
    </row>
    <row r="7" spans="1:10" x14ac:dyDescent="0.25">
      <c r="A7" t="s">
        <v>120</v>
      </c>
    </row>
    <row r="9" spans="1:10" x14ac:dyDescent="0.25">
      <c r="J9" t="s">
        <v>114</v>
      </c>
    </row>
    <row r="10" spans="1:10" x14ac:dyDescent="0.25">
      <c r="C10" t="s">
        <v>119</v>
      </c>
      <c r="J10" s="7">
        <v>8</v>
      </c>
    </row>
    <row r="11" spans="1:10" x14ac:dyDescent="0.25">
      <c r="J11" t="s">
        <v>121</v>
      </c>
    </row>
    <row r="19" spans="1:10" x14ac:dyDescent="0.25">
      <c r="A19" t="s">
        <v>112</v>
      </c>
    </row>
    <row r="20" spans="1:10" x14ac:dyDescent="0.25">
      <c r="A20" s="9">
        <v>30630520</v>
      </c>
      <c r="J20" t="s">
        <v>116</v>
      </c>
    </row>
    <row r="21" spans="1:10" x14ac:dyDescent="0.25">
      <c r="A21" t="s">
        <v>121</v>
      </c>
      <c r="J21" s="7">
        <v>21.61</v>
      </c>
    </row>
    <row r="22" spans="1:10" x14ac:dyDescent="0.25">
      <c r="J22" t="s">
        <v>121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2026-09-05T12:01:03Z</dcterms:created>
  <dcterms:modified xsi:type="dcterms:W3CDTF">2026-09-05T12:53:20Z</dcterms:modified>
</cp:coreProperties>
</file>